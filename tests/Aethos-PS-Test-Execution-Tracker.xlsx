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nants" sheetId="2" state="visible" r:id="rId2"/>
    <sheet xmlns:r="http://schemas.openxmlformats.org/officeDocument/2006/relationships" name="Execut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0F172A"/>
      <sz val="20"/>
    </font>
    <font>
      <name val="Arial"/>
      <b val="1"/>
      <color rgb="00334155"/>
      <sz val="13"/>
    </font>
    <font>
      <name val="Arial"/>
      <b val="1"/>
      <color rgb="00334155"/>
      <sz val="10"/>
    </font>
    <font>
      <name val="Arial"/>
      <color rgb="00000000"/>
      <sz val="10"/>
    </font>
    <font>
      <name val="Arial"/>
      <b val="1"/>
      <color rgb="000F172A"/>
      <sz val="10"/>
    </font>
    <font>
      <name val="Arial"/>
      <b val="1"/>
      <color rgb="00000000"/>
      <sz val="10"/>
    </font>
    <font>
      <name val="Arial"/>
      <b val="1"/>
      <color rgb="000F172A"/>
      <sz val="14"/>
    </font>
    <font>
      <name val="Arial"/>
      <b val="1"/>
      <color rgb="00FFFFFF"/>
      <sz val="11"/>
    </font>
    <font>
      <name val="Arial"/>
      <i val="1"/>
      <color rgb="00334155"/>
      <sz val="9"/>
    </font>
    <font>
      <name val="Arial"/>
      <b val="1"/>
      <color rgb="000F172A"/>
      <sz val="11"/>
    </font>
    <font>
      <name val="Arial"/>
      <b val="1"/>
      <color rgb="000F172A"/>
    </font>
  </fonts>
  <fills count="12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3F4F6"/>
      </patternFill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DBEAFE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4" fillId="5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 vertical="top" wrapText="1"/>
    </xf>
    <xf numFmtId="0" fontId="1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9C3"/>
        </patternFill>
      </fill>
    </dxf>
    <dxf>
      <fill>
        <patternFill patternType="solid">
          <f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85" customWidth="1" min="3" max="3"/>
    <col width="12" customWidth="1" min="5" max="5"/>
    <col width="12" customWidth="1" min="6" max="6"/>
    <col width="12" customWidth="1" min="7" max="7"/>
  </cols>
  <sheetData>
    <row r="2">
      <c r="B2" s="1" t="inlineStr">
        <is>
          <t>Aethos for Professional Services</t>
        </is>
      </c>
    </row>
    <row r="3">
      <c r="B3" s="2" t="inlineStr">
        <is>
          <t>10-Tenant E2E Demo &amp; Test — Execution Tracker</t>
        </is>
      </c>
    </row>
    <row r="5">
      <c r="B5" s="3" t="inlineStr">
        <is>
          <t>Companion to</t>
        </is>
      </c>
      <c r="C5" s="4" t="inlineStr">
        <is>
          <t>Aethos-PS-Test-Scenario-Library.md</t>
        </is>
      </c>
    </row>
    <row r="6">
      <c r="B6" s="3" t="inlineStr">
        <is>
          <t>Platform</t>
        </is>
      </c>
      <c r="C6" s="4" t="inlineStr">
        <is>
          <t>https://aethos.ishirock.tech  (agent-first PS ERP)</t>
        </is>
      </c>
    </row>
    <row r="7">
      <c r="B7" s="3" t="inlineStr">
        <is>
          <t>Protocol</t>
        </is>
      </c>
      <c r="C7" s="4" t="inlineStr">
        <is>
          <t>Agentic-first (Atlas chat) -&gt; Inbox approval -&gt; UI evidence. Then verify manual fallback.</t>
        </is>
      </c>
    </row>
    <row r="8">
      <c r="B8" s="3" t="inlineStr">
        <is>
          <t>Build rule</t>
        </is>
      </c>
      <c r="C8" s="4" t="inlineStr">
        <is>
          <t>No backend seeding. Every record created via signup / Atlas / CRUD and visible in a module screen.</t>
        </is>
      </c>
    </row>
    <row r="9">
      <c r="B9" s="3" t="inlineStr">
        <is>
          <t>How to use</t>
        </is>
      </c>
      <c r="C9" s="4" t="inlineStr">
        <is>
          <t>Set Result per step on the Execution tab (Pass / Fail / Blocked / N/A). Summary updates automatically.</t>
        </is>
      </c>
    </row>
    <row r="10">
      <c r="B10" s="3" t="inlineStr">
        <is>
          <t>Evidence triad</t>
        </is>
      </c>
      <c r="C10" s="4" t="inlineStr">
        <is>
          <t>Capture: (1) Atlas intent, (2) Inbox/approval card, (3) resulting record + report + Agent Run Ledger.</t>
        </is>
      </c>
    </row>
    <row r="12">
      <c r="B12" s="5" t="inlineStr">
        <is>
          <t>Status legend</t>
        </is>
      </c>
    </row>
    <row r="13">
      <c r="B13" s="6" t="inlineStr">
        <is>
          <t>Pass</t>
        </is>
      </c>
      <c r="C13" s="7" t="inlineStr">
        <is>
          <t>Fail</t>
        </is>
      </c>
      <c r="D13" s="8" t="inlineStr">
        <is>
          <t>Blocked</t>
        </is>
      </c>
      <c r="E13" s="9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4" customWidth="1" min="4" max="4"/>
    <col width="7" customWidth="1" min="5" max="5"/>
    <col width="11" customWidth="1" min="6" max="6"/>
    <col width="60" customWidth="1" min="7" max="7"/>
  </cols>
  <sheetData>
    <row r="1">
      <c r="A1" s="10" t="inlineStr">
        <is>
          <t>The 10 Tenants</t>
        </is>
      </c>
    </row>
    <row r="3">
      <c r="A3" s="11" t="inlineStr">
        <is>
          <t>#</t>
        </is>
      </c>
      <c r="B3" s="11" t="inlineStr">
        <is>
          <t>Tenant</t>
        </is>
      </c>
      <c r="C3" s="11" t="inlineStr">
        <is>
          <t>Market / Base ccy</t>
        </is>
      </c>
      <c r="D3" s="11" t="inlineStr">
        <is>
          <t>Firm type</t>
        </is>
      </c>
      <c r="E3" s="11" t="inlineStr">
        <is>
          <t>Size</t>
        </is>
      </c>
      <c r="F3" s="11" t="inlineStr">
        <is>
          <t>Complexity</t>
        </is>
      </c>
      <c r="G3" s="11" t="inlineStr">
        <is>
          <t>Signature dimension</t>
        </is>
      </c>
    </row>
    <row r="4">
      <c r="A4" s="12" t="inlineStr">
        <is>
          <t>T1</t>
        </is>
      </c>
      <c r="B4" s="13" t="inlineStr">
        <is>
          <t>Cobalt Consulting Co.</t>
        </is>
      </c>
      <c r="C4" s="14" t="inlineStr">
        <is>
          <t>US / USD</t>
        </is>
      </c>
      <c r="D4" s="13" t="inlineStr">
        <is>
          <t>Strategy boutique</t>
        </is>
      </c>
      <c r="E4" s="14" t="n">
        <v>8</v>
      </c>
      <c r="F4" s="14" t="inlineStr">
        <is>
          <t>Low</t>
        </is>
      </c>
      <c r="G4" s="13" t="inlineStr">
        <is>
          <t>Baseline smoke: T&amp;M + one-offs, light SaaS procurement, monthly close</t>
        </is>
      </c>
    </row>
    <row r="5">
      <c r="A5" s="15" t="inlineStr">
        <is>
          <t>T2</t>
        </is>
      </c>
      <c r="B5" s="16" t="inlineStr">
        <is>
          <t>Pixel &amp; Pulp Studio</t>
        </is>
      </c>
      <c r="C5" s="17" t="inlineStr">
        <is>
          <t>UK / GBP</t>
        </is>
      </c>
      <c r="D5" s="16" t="inlineStr">
        <is>
          <t>Creative + dev agency</t>
        </is>
      </c>
      <c r="E5" s="17" t="n">
        <v>30</v>
      </c>
      <c r="F5" s="17" t="inlineStr">
        <is>
          <t>Low-Med</t>
        </is>
      </c>
      <c r="G5" s="16" t="inlineStr">
        <is>
          <t>Milestone builds + multi-year retainers; capped-T&amp;M overflow; EUR</t>
        </is>
      </c>
    </row>
    <row r="6">
      <c r="A6" s="12" t="inlineStr">
        <is>
          <t>T3</t>
        </is>
      </c>
      <c r="B6" s="13" t="inlineStr">
        <is>
          <t>Harborstone Accountants</t>
        </is>
      </c>
      <c r="C6" s="14" t="inlineStr">
        <is>
          <t>US / USD</t>
        </is>
      </c>
      <c r="D6" s="13" t="inlineStr">
        <is>
          <t>Accounting &amp; tax firm</t>
        </is>
      </c>
      <c r="E6" s="14" t="n">
        <v>55</v>
      </c>
      <c r="F6" s="14" t="inlineStr">
        <is>
          <t>Med</t>
        </is>
      </c>
      <c r="G6" s="13" t="inlineStr">
        <is>
          <t>Fixed-fee milestones + per-event; scope creep; year-end statutory</t>
        </is>
      </c>
    </row>
    <row r="7">
      <c r="A7" s="15" t="inlineStr">
        <is>
          <t>T4</t>
        </is>
      </c>
      <c r="B7" s="16" t="inlineStr">
        <is>
          <t>Vantage Tax Partners</t>
        </is>
      </c>
      <c r="C7" s="17" t="inlineStr">
        <is>
          <t>Singapore / SGD</t>
        </is>
      </c>
      <c r="D7" s="16" t="inlineStr">
        <is>
          <t>Cross-border tax boutique</t>
        </is>
      </c>
      <c r="E7" s="17" t="n">
        <v>18</v>
      </c>
      <c r="F7" s="17" t="inlineStr">
        <is>
          <t>Med</t>
        </is>
      </c>
      <c r="G7" s="16" t="inlineStr">
        <is>
          <t>Multi-currency FX provenance; foreign-dividend journals; quarterly GST</t>
        </is>
      </c>
    </row>
    <row r="8">
      <c r="A8" s="12" t="inlineStr">
        <is>
          <t>T5</t>
        </is>
      </c>
      <c r="B8" s="13" t="inlineStr">
        <is>
          <t>Indus Engineering Advisory</t>
        </is>
      </c>
      <c r="C8" s="14" t="inlineStr">
        <is>
          <t>India / INR</t>
        </is>
      </c>
      <c r="D8" s="13" t="inlineStr">
        <is>
          <t>Engineering &amp; PMO</t>
        </is>
      </c>
      <c r="E8" s="14" t="n">
        <v>90</v>
      </c>
      <c r="F8" s="14" t="inlineStr">
        <is>
          <t>Med-High</t>
        </is>
      </c>
      <c r="G8" s="13" t="inlineStr">
        <is>
          <t>3-yr programs; HEAVY internal procurement; all AP edges; GST</t>
        </is>
      </c>
    </row>
    <row r="9">
      <c r="A9" s="15" t="inlineStr">
        <is>
          <t>T6</t>
        </is>
      </c>
      <c r="B9" s="16" t="inlineStr">
        <is>
          <t>Southern Cross Legal</t>
        </is>
      </c>
      <c r="C9" s="17" t="inlineStr">
        <is>
          <t>Australia / AUD</t>
        </is>
      </c>
      <c r="D9" s="16" t="inlineStr">
        <is>
          <t>Boutique law firm</t>
        </is>
      </c>
      <c r="E9" s="17" t="n">
        <v>22</v>
      </c>
      <c r="F9" s="17" t="inlineStr">
        <is>
          <t>Med</t>
        </is>
      </c>
      <c r="G9" s="16" t="inlineStr">
        <is>
          <t>Retainer-draw/trust; per-matter fixed; partial payments &amp; disputes</t>
        </is>
      </c>
    </row>
    <row r="10">
      <c r="A10" s="12" t="inlineStr">
        <is>
          <t>T7</t>
        </is>
      </c>
      <c r="B10" s="13" t="inlineStr">
        <is>
          <t>Atlas Capital Advisors</t>
        </is>
      </c>
      <c r="C10" s="14" t="inlineStr">
        <is>
          <t>US / USD (+EUR/GBP)</t>
        </is>
      </c>
      <c r="D10" s="13" t="inlineStr">
        <is>
          <t>M&amp;A / transaction advisory</t>
        </is>
      </c>
      <c r="E10" s="14" t="n">
        <v>40</v>
      </c>
      <c r="F10" s="14" t="inlineStr">
        <is>
          <t>High</t>
        </is>
      </c>
      <c r="G10" s="13" t="inlineStr">
        <is>
          <t>Success-fee milestones, estimate-&gt;actual; multi-currency deals</t>
        </is>
      </c>
    </row>
    <row r="11">
      <c r="A11" s="15" t="inlineStr">
        <is>
          <t>T8</t>
        </is>
      </c>
      <c r="B11" s="16" t="inlineStr">
        <is>
          <t>Helix Talent Group</t>
        </is>
      </c>
      <c r="C11" s="17" t="inlineStr">
        <is>
          <t>UK / GBP</t>
        </is>
      </c>
      <c r="D11" s="16" t="inlineStr">
        <is>
          <t>Recruitment &amp; HR advisory</t>
        </is>
      </c>
      <c r="E11" s="17" t="n">
        <v>35</v>
      </c>
      <c r="F11" s="17" t="inlineStr">
        <is>
          <t>Med</t>
        </is>
      </c>
      <c r="G11" s="16" t="inlineStr">
        <is>
          <t>Per-placement + per-employee scaling + multi-year RPO retainers</t>
        </is>
      </c>
    </row>
    <row r="12">
      <c r="A12" s="12" t="inlineStr">
        <is>
          <t>T9</t>
        </is>
      </c>
      <c r="B12" s="13" t="inlineStr">
        <is>
          <t>Brightline Wealth Office</t>
        </is>
      </c>
      <c r="C12" s="14" t="inlineStr">
        <is>
          <t>UK / GBP (+SGD)</t>
        </is>
      </c>
      <c r="D12" s="13" t="inlineStr">
        <is>
          <t>Multi-entity family office</t>
        </is>
      </c>
      <c r="E12" s="14" t="n">
        <v>15</v>
      </c>
      <c r="F12" s="14" t="inlineStr">
        <is>
          <t>Very High</t>
        </is>
      </c>
      <c r="G12" s="13" t="inlineStr">
        <is>
          <t>One client = many entities; 7+ engagements; trusts; COSEC; privacy</t>
        </is>
      </c>
    </row>
    <row r="13">
      <c r="A13" s="15" t="inlineStr">
        <is>
          <t>T10</t>
        </is>
      </c>
      <c r="B13" s="16" t="inlineStr">
        <is>
          <t>Quantum Systems Integration</t>
        </is>
      </c>
      <c r="C13" s="17" t="inlineStr">
        <is>
          <t>US / USD (+EUR/GBP)</t>
        </is>
      </c>
      <c r="D13" s="16" t="inlineStr">
        <is>
          <t>Enterprise IT / SI</t>
        </is>
      </c>
      <c r="E13" s="17" t="n">
        <v>200</v>
      </c>
      <c r="F13" s="17" t="inlineStr">
        <is>
          <t>Extreme</t>
        </is>
      </c>
      <c r="G13" s="16" t="inlineStr">
        <is>
          <t>Everything: mixed-in-one engagement, full controls/audit, scheduled ops, red-team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52" customWidth="1" min="4" max="4"/>
    <col width="20" customWidth="1" min="5" max="5"/>
    <col width="40" customWidth="1" min="6" max="6"/>
    <col width="11" customWidth="1" min="7" max="7"/>
    <col width="12" customWidth="1" min="8" max="8"/>
    <col width="12" customWidth="1" min="9" max="9"/>
    <col width="30" customWidth="1" min="10" max="10"/>
  </cols>
  <sheetData>
    <row r="1">
      <c r="A1" s="10" t="inlineStr">
        <is>
          <t>Execution Tracker</t>
        </is>
      </c>
    </row>
    <row r="2">
      <c r="A2" s="18" t="inlineStr">
        <is>
          <t>Set Result per step. Capture the evidence triad. No backend seeding.</t>
        </is>
      </c>
    </row>
    <row r="4">
      <c r="A4" s="11" t="inlineStr">
        <is>
          <t>Tenant</t>
        </is>
      </c>
      <c r="B4" s="11" t="inlineStr">
        <is>
          <t>Cycle</t>
        </is>
      </c>
      <c r="C4" s="11" t="inlineStr">
        <is>
          <t>Step</t>
        </is>
      </c>
      <c r="D4" s="11" t="inlineStr">
        <is>
          <t>Description (agentic-first action / prompt)</t>
        </is>
      </c>
      <c r="E4" s="11" t="inlineStr">
        <is>
          <t>Edge IDs</t>
        </is>
      </c>
      <c r="F4" s="11" t="inlineStr">
        <is>
          <t>Expected UI evidence</t>
        </is>
      </c>
      <c r="G4" s="11" t="inlineStr">
        <is>
          <t>Result</t>
        </is>
      </c>
      <c r="H4" s="11" t="inlineStr">
        <is>
          <t>Tester</t>
        </is>
      </c>
      <c r="I4" s="11" t="inlineStr">
        <is>
          <t>Date</t>
        </is>
      </c>
      <c r="J4" s="11" t="inlineStr">
        <is>
          <t>Notes</t>
        </is>
      </c>
    </row>
    <row r="5">
      <c r="A5" s="15" t="inlineStr">
        <is>
          <t>T1</t>
        </is>
      </c>
      <c r="B5" s="19" t="inlineStr">
        <is>
          <t>Setup</t>
        </is>
      </c>
      <c r="C5" s="17" t="inlineStr">
        <is>
          <t>S1.0</t>
        </is>
      </c>
      <c r="D5" s="16" t="inlineStr">
        <is>
          <t>Sign up tenant (USD/US); create 4 roles; confirm tax + services; Stripe OFF first</t>
        </is>
      </c>
      <c r="E5" s="16" t="inlineStr"/>
      <c r="F5" s="16" t="inlineStr">
        <is>
          <t>Tenant + users exist; Settings show tax rate</t>
        </is>
      </c>
      <c r="G5" s="17" t="n"/>
      <c r="H5" s="16" t="n"/>
      <c r="I5" s="17" t="n"/>
      <c r="J5" s="16" t="n"/>
    </row>
    <row r="6">
      <c r="A6" s="15" t="inlineStr">
        <is>
          <t>T1</t>
        </is>
      </c>
      <c r="B6" s="20" t="inlineStr">
        <is>
          <t>E2C</t>
        </is>
      </c>
      <c r="C6" s="17" t="inlineStr">
        <is>
          <t>S1.1</t>
        </is>
      </c>
      <c r="D6" s="16" t="inlineStr">
        <is>
          <t>Atlas: log billable hours for Riverbend discovery</t>
        </is>
      </c>
      <c r="E6" s="16" t="inlineStr">
        <is>
          <t>EC-BILL-01</t>
        </is>
      </c>
      <c r="F6" s="16" t="inlineStr">
        <is>
          <t>/time-entries row, billable</t>
        </is>
      </c>
      <c r="G6" s="17" t="n"/>
      <c r="H6" s="16" t="n"/>
      <c r="I6" s="17" t="n"/>
      <c r="J6" s="16" t="n"/>
    </row>
    <row r="7">
      <c r="A7" s="15" t="inlineStr">
        <is>
          <t>T1</t>
        </is>
      </c>
      <c r="B7" s="20" t="inlineStr">
        <is>
          <t>E2C</t>
        </is>
      </c>
      <c r="C7" s="17" t="inlineStr">
        <is>
          <t>S1.2</t>
        </is>
      </c>
      <c r="D7" s="16" t="inlineStr">
        <is>
          <t>Atlas: process Riverbend travel receipt as billable expense</t>
        </is>
      </c>
      <c r="E7" s="16" t="inlineStr"/>
      <c r="F7" s="16" t="inlineStr">
        <is>
          <t>/expenses row + receipt link</t>
        </is>
      </c>
      <c r="G7" s="17" t="n"/>
      <c r="H7" s="16" t="n"/>
      <c r="I7" s="17" t="n"/>
      <c r="J7" s="16" t="n"/>
    </row>
    <row r="8">
      <c r="A8" s="15" t="inlineStr">
        <is>
          <t>T1</t>
        </is>
      </c>
      <c r="B8" s="20" t="inlineStr">
        <is>
          <t>E2C</t>
        </is>
      </c>
      <c r="C8" s="17" t="inlineStr">
        <is>
          <t>S1.3</t>
        </is>
      </c>
      <c r="D8" s="16" t="inlineStr">
        <is>
          <t>Atlas: June billing run -&gt; Inbox -&gt; approve</t>
        </is>
      </c>
      <c r="E8" s="16" t="inlineStr">
        <is>
          <t>EC-BILL-01</t>
        </is>
      </c>
      <c r="F8" s="16" t="inlineStr">
        <is>
          <t>INV approved; DR AR/CR Revenue journal</t>
        </is>
      </c>
      <c r="G8" s="17" t="n"/>
      <c r="H8" s="16" t="n"/>
      <c r="I8" s="17" t="n"/>
      <c r="J8" s="16" t="n"/>
    </row>
    <row r="9">
      <c r="A9" s="15" t="inlineStr">
        <is>
          <t>T1</t>
        </is>
      </c>
      <c r="B9" s="20" t="inlineStr">
        <is>
          <t>E2C</t>
        </is>
      </c>
      <c r="C9" s="17" t="inlineStr">
        <is>
          <t>S1.4</t>
        </is>
      </c>
      <c r="D9" s="16" t="inlineStr">
        <is>
          <t>Connect Stripe; Send; public link safety; pay test card; replay webhook</t>
        </is>
      </c>
      <c r="E9" s="16" t="inlineStr">
        <is>
          <t>EC-AR-06;EC-AGT-05</t>
        </is>
      </c>
      <c r="F9" s="16" t="inlineStr">
        <is>
          <t>Invoice paid; DR Bank/CR AR; no duplicate payment</t>
        </is>
      </c>
      <c r="G9" s="17" t="n"/>
      <c r="H9" s="16" t="n"/>
      <c r="I9" s="17" t="n"/>
      <c r="J9" s="16" t="n"/>
    </row>
    <row r="10">
      <c r="A10" s="15" t="inlineStr">
        <is>
          <t>T1</t>
        </is>
      </c>
      <c r="B10" s="20" t="inlineStr">
        <is>
          <t>E2C</t>
        </is>
      </c>
      <c r="C10" s="17" t="inlineStr">
        <is>
          <t>S1.5</t>
        </is>
      </c>
      <c r="D10" s="16" t="inlineStr">
        <is>
          <t>Calderon partial payment; Summit dual-approve race</t>
        </is>
      </c>
      <c r="E10" s="16" t="inlineStr">
        <is>
          <t>EC-AR-01;EC-CON-01</t>
        </is>
      </c>
      <c r="F10" s="16" t="inlineStr">
        <is>
          <t>Remaining balance; one journal, loser 409</t>
        </is>
      </c>
      <c r="G10" s="17" t="n"/>
      <c r="H10" s="16" t="n"/>
      <c r="I10" s="17" t="n"/>
      <c r="J10" s="16" t="n"/>
    </row>
    <row r="11">
      <c r="A11" s="15" t="inlineStr">
        <is>
          <t>T1</t>
        </is>
      </c>
      <c r="B11" s="20" t="inlineStr">
        <is>
          <t>E2C</t>
        </is>
      </c>
      <c r="C11" s="17" t="inlineStr">
        <is>
          <t>S1.6</t>
        </is>
      </c>
      <c r="D11" s="16" t="inlineStr">
        <is>
          <t>Velocity: AI-unavailable manual fallback invoice</t>
        </is>
      </c>
      <c r="E11" s="16" t="inlineStr">
        <is>
          <t>EC-AGT-04</t>
        </is>
      </c>
      <c r="F11" s="16" t="inlineStr">
        <is>
          <t>Manual /invoices/new completes</t>
        </is>
      </c>
      <c r="G11" s="17" t="n"/>
      <c r="H11" s="16" t="n"/>
      <c r="I11" s="17" t="n"/>
      <c r="J11" s="16" t="n"/>
    </row>
    <row r="12">
      <c r="A12" s="15" t="inlineStr">
        <is>
          <t>T1</t>
        </is>
      </c>
      <c r="B12" s="20" t="inlineStr">
        <is>
          <t>E2C</t>
        </is>
      </c>
      <c r="C12" s="17" t="inlineStr">
        <is>
          <t>S1.7</t>
        </is>
      </c>
      <c r="D12" s="16" t="inlineStr">
        <is>
          <t>Pinnacle zero-amount; Greenfield credit note</t>
        </is>
      </c>
      <c r="E12" s="16" t="inlineStr">
        <is>
          <t>EC-BILL-11;EC-BILL-12</t>
        </is>
      </c>
      <c r="F12" s="16" t="inlineStr">
        <is>
          <t>No link/no-op; reverse journal</t>
        </is>
      </c>
      <c r="G12" s="17" t="n"/>
      <c r="H12" s="16" t="n"/>
      <c r="I12" s="17" t="n"/>
      <c r="J12" s="16" t="n"/>
    </row>
    <row r="13">
      <c r="A13" s="15" t="inlineStr">
        <is>
          <t>T1</t>
        </is>
      </c>
      <c r="B13" s="20" t="inlineStr">
        <is>
          <t>E2C</t>
        </is>
      </c>
      <c r="C13" s="17" t="inlineStr">
        <is>
          <t>S1.8</t>
        </is>
      </c>
      <c r="D13" s="16" t="inlineStr">
        <is>
          <t>Northshore: Manager send blocked; Admin sends</t>
        </is>
      </c>
      <c r="E13" s="16" t="inlineStr">
        <is>
          <t>EC-RBAC-04</t>
        </is>
      </c>
      <c r="F13" s="16" t="inlineStr">
        <is>
          <t>403 for Manager; Admin/Owner sends</t>
        </is>
      </c>
      <c r="G13" s="17" t="n"/>
      <c r="H13" s="16" t="n"/>
      <c r="I13" s="17" t="n"/>
      <c r="J13" s="16" t="n"/>
    </row>
    <row r="14">
      <c r="A14" s="15" t="inlineStr">
        <is>
          <t>T1</t>
        </is>
      </c>
      <c r="B14" s="20" t="inlineStr">
        <is>
          <t>E2C</t>
        </is>
      </c>
      <c r="C14" s="17" t="inlineStr">
        <is>
          <t>S1.9</t>
        </is>
      </c>
      <c r="D14" s="16" t="inlineStr">
        <is>
          <t>Collections read-only then draft &gt;30d to Inbox; Hartwell cooldown</t>
        </is>
      </c>
      <c r="E14" s="16" t="inlineStr">
        <is>
          <t>EC-AR-04</t>
        </is>
      </c>
      <c r="F14" s="16" t="inlineStr">
        <is>
          <t>Reminder cards in Inbox; cooldown blocked</t>
        </is>
      </c>
      <c r="G14" s="17" t="n"/>
      <c r="H14" s="16" t="n"/>
      <c r="I14" s="17" t="n"/>
      <c r="J14" s="16" t="n"/>
    </row>
    <row r="15">
      <c r="A15" s="15" t="inlineStr">
        <is>
          <t>T1</t>
        </is>
      </c>
      <c r="B15" s="21" t="inlineStr">
        <is>
          <t>P2P</t>
        </is>
      </c>
      <c r="C15" s="17" t="inlineStr">
        <is>
          <t>S1.10</t>
        </is>
      </c>
      <c r="D15" s="16" t="inlineStr">
        <is>
          <t>SaaS bill intake -&gt; approve -&gt; bill-pay -&gt; export -&gt; sent -&gt; settle</t>
        </is>
      </c>
      <c r="E15" s="16" t="inlineStr">
        <is>
          <t>EC-AP-12</t>
        </is>
      </c>
      <c r="F15" s="16" t="inlineStr">
        <is>
          <t>DR Expense/CR AP; DR AP/CR Bank</t>
        </is>
      </c>
      <c r="G15" s="17" t="n"/>
      <c r="H15" s="16" t="n"/>
      <c r="I15" s="17" t="n"/>
      <c r="J15" s="16" t="n"/>
    </row>
    <row r="16">
      <c r="A16" s="15" t="inlineStr">
        <is>
          <t>T1</t>
        </is>
      </c>
      <c r="B16" s="22" t="inlineStr">
        <is>
          <t>R2R</t>
        </is>
      </c>
      <c r="C16" s="17" t="inlineStr">
        <is>
          <t>S1.11</t>
        </is>
      </c>
      <c r="D16" s="16" t="inlineStr">
        <is>
          <t>Month-end close June -&gt; lock; backdated post rejected</t>
        </is>
      </c>
      <c r="E16" s="16" t="inlineStr">
        <is>
          <t>EC-RR-01;EC-RR-04</t>
        </is>
      </c>
      <c r="F16" s="16" t="inlineStr">
        <is>
          <t>Period lock; 422 period_locked</t>
        </is>
      </c>
      <c r="G16" s="17" t="n"/>
      <c r="H16" s="16" t="n"/>
      <c r="I16" s="17" t="n"/>
      <c r="J16" s="16" t="n"/>
    </row>
    <row r="17">
      <c r="A17" s="15" t="inlineStr">
        <is>
          <t>T1</t>
        </is>
      </c>
      <c r="B17" s="22" t="inlineStr">
        <is>
          <t>R2R</t>
        </is>
      </c>
      <c r="C17" s="17" t="inlineStr">
        <is>
          <t>S1.12</t>
        </is>
      </c>
      <c r="D17" s="16" t="inlineStr">
        <is>
          <t>Statement package June vs May; reconcile to Reports</t>
        </is>
      </c>
      <c r="E17" s="16" t="inlineStr">
        <is>
          <t>EC-RR-13;EC-RR-14</t>
        </is>
      </c>
      <c r="F17" s="16" t="inlineStr">
        <is>
          <t>TB balances; P&amp;L/BS/CF render</t>
        </is>
      </c>
      <c r="G17" s="17" t="n"/>
      <c r="H17" s="16" t="n"/>
      <c r="I17" s="17" t="n"/>
      <c r="J17" s="16" t="n"/>
    </row>
    <row r="18">
      <c r="A18" s="15" t="inlineStr">
        <is>
          <t>T1</t>
        </is>
      </c>
      <c r="B18" s="23" t="inlineStr">
        <is>
          <t>Ctrl</t>
        </is>
      </c>
      <c r="C18" s="17" t="inlineStr">
        <is>
          <t>S1.13</t>
        </is>
      </c>
      <c r="D18" s="16" t="inlineStr">
        <is>
          <t>Viewer approve attempt; decision trail; Agent Run Ledger</t>
        </is>
      </c>
      <c r="E18" s="16" t="inlineStr">
        <is>
          <t>EC-RBAC-01</t>
        </is>
      </c>
      <c r="F18" s="16" t="inlineStr">
        <is>
          <t>Hidden + 403; trail + ledger reconcile</t>
        </is>
      </c>
      <c r="G18" s="17" t="n"/>
      <c r="H18" s="16" t="n"/>
      <c r="I18" s="17" t="n"/>
      <c r="J18" s="16" t="n"/>
    </row>
    <row r="19">
      <c r="A19" s="15" t="inlineStr">
        <is>
          <t>T2</t>
        </is>
      </c>
      <c r="B19" s="19" t="inlineStr">
        <is>
          <t>Setup</t>
        </is>
      </c>
      <c r="C19" s="17" t="inlineStr">
        <is>
          <t>S2.0</t>
        </is>
      </c>
      <c r="D19" s="16" t="inlineStr">
        <is>
          <t>Sign up (GBP/UK); VAT20; Stripe on; roles</t>
        </is>
      </c>
      <c r="E19" s="16" t="inlineStr"/>
      <c r="F19" s="16" t="inlineStr">
        <is>
          <t>Tenant/users; VAT seeded</t>
        </is>
      </c>
      <c r="G19" s="17" t="n"/>
      <c r="H19" s="16" t="n"/>
      <c r="I19" s="17" t="n"/>
      <c r="J19" s="16" t="n"/>
    </row>
    <row r="20">
      <c r="A20" s="15" t="inlineStr">
        <is>
          <t>T2</t>
        </is>
      </c>
      <c r="B20" s="20" t="inlineStr">
        <is>
          <t>E2C</t>
        </is>
      </c>
      <c r="C20" s="17" t="inlineStr">
        <is>
          <t>S2.1</t>
        </is>
      </c>
      <c r="D20" s="16" t="inlineStr">
        <is>
          <t>Drop Aurora SOW -&gt; engagement+project+rate card -&gt; approve</t>
        </is>
      </c>
      <c r="E20" s="16" t="inlineStr"/>
      <c r="F20" s="16" t="inlineStr">
        <is>
          <t>/engagements shows 3 milestones</t>
        </is>
      </c>
      <c r="G20" s="17" t="n"/>
      <c r="H20" s="16" t="n"/>
      <c r="I20" s="17" t="n"/>
      <c r="J20" s="16" t="n"/>
    </row>
    <row r="21">
      <c r="A21" s="15" t="inlineStr">
        <is>
          <t>T2</t>
        </is>
      </c>
      <c r="B21" s="20" t="inlineStr">
        <is>
          <t>E2C</t>
        </is>
      </c>
      <c r="C21" s="17" t="inlineStr">
        <is>
          <t>S2.2</t>
        </is>
      </c>
      <c r="D21" s="16" t="inlineStr">
        <is>
          <t>Bill Milestone 1 then 2 across months</t>
        </is>
      </c>
      <c r="E21" s="16" t="inlineStr">
        <is>
          <t>EC-BILL-03</t>
        </is>
      </c>
      <c r="F21" s="16" t="inlineStr">
        <is>
          <t>2 invoices; WIP accrues between</t>
        </is>
      </c>
      <c r="G21" s="17" t="n"/>
      <c r="H21" s="16" t="n"/>
      <c r="I21" s="17" t="n"/>
      <c r="J21" s="16" t="n"/>
    </row>
    <row r="22">
      <c r="A22" s="15" t="inlineStr">
        <is>
          <t>T2</t>
        </is>
      </c>
      <c r="B22" s="20" t="inlineStr">
        <is>
          <t>E2C</t>
        </is>
      </c>
      <c r="C22" s="17" t="inlineStr">
        <is>
          <t>S2.3</t>
        </is>
      </c>
      <c r="D22" s="16" t="inlineStr">
        <is>
          <t>Tideline 2-yr retainer run on the 1st -&gt; Inbox -&gt; approve</t>
        </is>
      </c>
      <c r="E22" s="16" t="inlineStr">
        <is>
          <t>EC-BILL-04</t>
        </is>
      </c>
      <c r="F22" s="16" t="inlineStr">
        <is>
          <t>Recurring monthly retainer invoices</t>
        </is>
      </c>
      <c r="G22" s="17" t="n"/>
      <c r="H22" s="16" t="n"/>
      <c r="I22" s="17" t="n"/>
      <c r="J22" s="16" t="n"/>
    </row>
    <row r="23">
      <c r="A23" s="15" t="inlineStr">
        <is>
          <t>T2</t>
        </is>
      </c>
      <c r="B23" s="20" t="inlineStr">
        <is>
          <t>E2C</t>
        </is>
      </c>
      <c r="C23" s="17" t="inlineStr">
        <is>
          <t>S2.4</t>
        </is>
      </c>
      <c r="D23" s="16" t="inlineStr">
        <is>
          <t>Beacon capped T&amp;M: 89% alert then cap; overflow</t>
        </is>
      </c>
      <c r="E23" s="16" t="inlineStr">
        <is>
          <t>EC-BILL-06</t>
        </is>
      </c>
      <c r="F23" s="16" t="inlineStr">
        <is>
          <t>Cap alert; non_billable_overflow</t>
        </is>
      </c>
      <c r="G23" s="17" t="n"/>
      <c r="H23" s="16" t="n"/>
      <c r="I23" s="17" t="n"/>
      <c r="J23" s="16" t="n"/>
    </row>
    <row r="24">
      <c r="A24" s="15" t="inlineStr">
        <is>
          <t>T2</t>
        </is>
      </c>
      <c r="B24" s="20" t="inlineStr">
        <is>
          <t>E2C</t>
        </is>
      </c>
      <c r="C24" s="17" t="inlineStr">
        <is>
          <t>S2.5</t>
        </is>
      </c>
      <c r="D24" s="16" t="inlineStr">
        <is>
          <t>Kestrel mixed-model single invoice</t>
        </is>
      </c>
      <c r="E24" s="16" t="inlineStr">
        <is>
          <t>EC-BILL-07</t>
        </is>
      </c>
      <c r="F24" s="16" t="inlineStr">
        <is>
          <t>Lines from fixed+retainer+T&amp;M+expense</t>
        </is>
      </c>
      <c r="G24" s="17" t="n"/>
      <c r="H24" s="16" t="n"/>
      <c r="I24" s="17" t="n"/>
      <c r="J24" s="16" t="n"/>
    </row>
    <row r="25">
      <c r="A25" s="15" t="inlineStr">
        <is>
          <t>T2</t>
        </is>
      </c>
      <c r="B25" s="20" t="inlineStr">
        <is>
          <t>E2C</t>
        </is>
      </c>
      <c r="C25" s="17" t="inlineStr">
        <is>
          <t>S2.6</t>
        </is>
      </c>
      <c r="D25" s="16" t="inlineStr">
        <is>
          <t>Lumiere EUR invoice; receipt FX move</t>
        </is>
      </c>
      <c r="E25" s="16" t="inlineStr">
        <is>
          <t>EC-FX-01;EC-FX-02</t>
        </is>
      </c>
      <c r="F25" s="16" t="inlineStr">
        <is>
          <t>base_amount+fx_rate_id; realised FX 7900</t>
        </is>
      </c>
      <c r="G25" s="17" t="n"/>
      <c r="H25" s="16" t="n"/>
      <c r="I25" s="17" t="n"/>
      <c r="J25" s="16" t="n"/>
    </row>
    <row r="26">
      <c r="A26" s="15" t="inlineStr">
        <is>
          <t>T2</t>
        </is>
      </c>
      <c r="B26" s="20" t="inlineStr">
        <is>
          <t>E2C</t>
        </is>
      </c>
      <c r="C26" s="17" t="inlineStr">
        <is>
          <t>S2.7</t>
        </is>
      </c>
      <c r="D26" s="16" t="inlineStr">
        <is>
          <t>Strata scope-creep supplemental engagement</t>
        </is>
      </c>
      <c r="E26" s="16" t="inlineStr">
        <is>
          <t>EC-BILL-10</t>
        </is>
      </c>
      <c r="F26" s="16" t="inlineStr">
        <is>
          <t>Atlas cites comparable; new milestone</t>
        </is>
      </c>
      <c r="G26" s="17" t="n"/>
      <c r="H26" s="16" t="n"/>
      <c r="I26" s="17" t="n"/>
      <c r="J26" s="16" t="n"/>
    </row>
    <row r="27">
      <c r="A27" s="15" t="inlineStr">
        <is>
          <t>T2</t>
        </is>
      </c>
      <c r="B27" s="20" t="inlineStr">
        <is>
          <t>E2C</t>
        </is>
      </c>
      <c r="C27" s="17" t="inlineStr">
        <is>
          <t>S2.8</t>
        </is>
      </c>
      <c r="D27" s="16" t="inlineStr">
        <is>
          <t>Verde learned-payer reminder suppression</t>
        </is>
      </c>
      <c r="E27" s="16" t="inlineStr">
        <is>
          <t>EC-AR-03</t>
        </is>
      </c>
      <c r="F27" s="16" t="inlineStr">
        <is>
          <t>No reminder before learned pay day</t>
        </is>
      </c>
      <c r="G27" s="17" t="n"/>
      <c r="H27" s="16" t="n"/>
      <c r="I27" s="17" t="n"/>
      <c r="J27" s="16" t="n"/>
    </row>
    <row r="28">
      <c r="A28" s="15" t="inlineStr">
        <is>
          <t>T2</t>
        </is>
      </c>
      <c r="B28" s="21" t="inlineStr">
        <is>
          <t>P2P</t>
        </is>
      </c>
      <c r="C28" s="17" t="inlineStr">
        <is>
          <t>S2.9</t>
        </is>
      </c>
      <c r="D28" s="16" t="inlineStr">
        <is>
          <t>Freelance subcontractor + recurring cloud bills</t>
        </is>
      </c>
      <c r="E28" s="16" t="inlineStr">
        <is>
          <t>EC-AP-11</t>
        </is>
      </c>
      <c r="F28" s="16" t="inlineStr">
        <is>
          <t>2nd cloud invoice auto-matches</t>
        </is>
      </c>
      <c r="G28" s="17" t="n"/>
      <c r="H28" s="16" t="n"/>
      <c r="I28" s="17" t="n"/>
      <c r="J28" s="16" t="n"/>
    </row>
    <row r="29">
      <c r="A29" s="15" t="inlineStr">
        <is>
          <t>T2</t>
        </is>
      </c>
      <c r="B29" s="21" t="inlineStr">
        <is>
          <t>P2P</t>
        </is>
      </c>
      <c r="C29" s="17" t="inlineStr">
        <is>
          <t>S2.10</t>
        </is>
      </c>
      <c r="D29" s="16" t="inlineStr">
        <is>
          <t>Bill-pay lifecycle export-&gt;sent-&gt;settle</t>
        </is>
      </c>
      <c r="E29" s="16" t="inlineStr">
        <is>
          <t>EC-AP-12</t>
        </is>
      </c>
      <c r="F29" s="16" t="inlineStr">
        <is>
          <t>Three recorded steps</t>
        </is>
      </c>
      <c r="G29" s="17" t="n"/>
      <c r="H29" s="16" t="n"/>
      <c r="I29" s="17" t="n"/>
      <c r="J29" s="16" t="n"/>
    </row>
    <row r="30">
      <c r="A30" s="15" t="inlineStr">
        <is>
          <t>T2</t>
        </is>
      </c>
      <c r="B30" s="22" t="inlineStr">
        <is>
          <t>R2R</t>
        </is>
      </c>
      <c r="C30" s="17" t="inlineStr">
        <is>
          <t>S2.11</t>
        </is>
      </c>
      <c r="D30" s="16" t="inlineStr">
        <is>
          <t>Monthly close then Q2 package vs prior-yr Q2</t>
        </is>
      </c>
      <c r="E30" s="16" t="inlineStr">
        <is>
          <t>EC-RR-01;EC-RR-02</t>
        </is>
      </c>
      <c r="F30" s="16" t="inlineStr">
        <is>
          <t>Deterministic variances</t>
        </is>
      </c>
      <c r="G30" s="17" t="n"/>
      <c r="H30" s="16" t="n"/>
      <c r="I30" s="17" t="n"/>
      <c r="J30" s="16" t="n"/>
    </row>
    <row r="31">
      <c r="A31" s="15" t="inlineStr">
        <is>
          <t>T2</t>
        </is>
      </c>
      <c r="B31" s="22" t="inlineStr">
        <is>
          <t>R2R</t>
        </is>
      </c>
      <c r="C31" s="17" t="inlineStr">
        <is>
          <t>S2.12</t>
        </is>
      </c>
      <c r="D31" s="16" t="inlineStr">
        <is>
          <t>Manual accrual journal; missing-reason rejected</t>
        </is>
      </c>
      <c r="E31" s="16" t="inlineStr">
        <is>
          <t>EC-RR-07;EC-RR-08</t>
        </is>
      </c>
      <c r="F31" s="16" t="inlineStr">
        <is>
          <t>Posts w/ reason; 422 w/o</t>
        </is>
      </c>
      <c r="G31" s="17" t="n"/>
      <c r="H31" s="16" t="n"/>
      <c r="I31" s="17" t="n"/>
      <c r="J31" s="16" t="n"/>
    </row>
    <row r="32">
      <c r="A32" s="15" t="inlineStr">
        <is>
          <t>T3</t>
        </is>
      </c>
      <c r="B32" s="19" t="inlineStr">
        <is>
          <t>Setup</t>
        </is>
      </c>
      <c r="C32" s="17" t="inlineStr">
        <is>
          <t>S3.0</t>
        </is>
      </c>
      <c r="D32" s="16" t="inlineStr">
        <is>
          <t>Sign up (USD); statutory+tax services; quarterly+YE</t>
        </is>
      </c>
      <c r="E32" s="16" t="inlineStr"/>
      <c r="F32" s="16" t="inlineStr">
        <is>
          <t>COA/services set</t>
        </is>
      </c>
      <c r="G32" s="17" t="n"/>
      <c r="H32" s="16" t="n"/>
      <c r="I32" s="17" t="n"/>
      <c r="J32" s="16" t="n"/>
    </row>
    <row r="33">
      <c r="A33" s="15" t="inlineStr">
        <is>
          <t>T3</t>
        </is>
      </c>
      <c r="B33" s="20" t="inlineStr">
        <is>
          <t>E2C</t>
        </is>
      </c>
      <c r="C33" s="17" t="inlineStr">
        <is>
          <t>S3.1</t>
        </is>
      </c>
      <c r="D33" s="16" t="inlineStr">
        <is>
          <t>Delmont 3-milestone annual accounts billed across year</t>
        </is>
      </c>
      <c r="E33" s="16" t="inlineStr">
        <is>
          <t>EC-BILL-03</t>
        </is>
      </c>
      <c r="F33" s="16" t="inlineStr">
        <is>
          <t>Milestone recognition</t>
        </is>
      </c>
      <c r="G33" s="17" t="n"/>
      <c r="H33" s="16" t="n"/>
      <c r="I33" s="17" t="n"/>
      <c r="J33" s="16" t="n"/>
    </row>
    <row r="34">
      <c r="A34" s="15" t="inlineStr">
        <is>
          <t>T3</t>
        </is>
      </c>
      <c r="B34" s="20" t="inlineStr">
        <is>
          <t>E2C</t>
        </is>
      </c>
      <c r="C34" s="17" t="inlineStr">
        <is>
          <t>S3.2</t>
        </is>
      </c>
      <c r="D34" s="16" t="inlineStr">
        <is>
          <t>Sandpiper per-event filings consolidated monthly</t>
        </is>
      </c>
      <c r="E34" s="16" t="inlineStr">
        <is>
          <t>EC-BILL-09</t>
        </is>
      </c>
      <c r="F34" s="16" t="inlineStr">
        <is>
          <t>One consolidated invoice</t>
        </is>
      </c>
      <c r="G34" s="17" t="n"/>
      <c r="H34" s="16" t="n"/>
      <c r="I34" s="17" t="n"/>
      <c r="J34" s="16" t="n"/>
    </row>
    <row r="35">
      <c r="A35" s="15" t="inlineStr">
        <is>
          <t>T3</t>
        </is>
      </c>
      <c r="B35" s="20" t="inlineStr">
        <is>
          <t>E2C</t>
        </is>
      </c>
      <c r="C35" s="17" t="inlineStr">
        <is>
          <t>S3.3</t>
        </is>
      </c>
      <c r="D35" s="16" t="inlineStr">
        <is>
          <t>Whitaker scope-creep supplemental</t>
        </is>
      </c>
      <c r="E35" s="16" t="inlineStr">
        <is>
          <t>EC-BILL-10</t>
        </is>
      </c>
      <c r="F35" s="16" t="inlineStr">
        <is>
          <t>Comparable-fee citation</t>
        </is>
      </c>
      <c r="G35" s="17" t="n"/>
      <c r="H35" s="16" t="n"/>
      <c r="I35" s="17" t="n"/>
      <c r="J35" s="16" t="n"/>
    </row>
    <row r="36">
      <c r="A36" s="15" t="inlineStr">
        <is>
          <t>T3</t>
        </is>
      </c>
      <c r="B36" s="20" t="inlineStr">
        <is>
          <t>E2C</t>
        </is>
      </c>
      <c r="C36" s="17" t="inlineStr">
        <is>
          <t>S3.4</t>
        </is>
      </c>
      <c r="D36" s="16" t="inlineStr">
        <is>
          <t>Sterling annual fee upfront -&gt; deferred revenue</t>
        </is>
      </c>
      <c r="E36" s="16" t="inlineStr">
        <is>
          <t>EC-BILL-13</t>
        </is>
      </c>
      <c r="F36" s="16" t="inlineStr">
        <is>
          <t>CR Deferred Revenue, released monthly</t>
        </is>
      </c>
      <c r="G36" s="17" t="n"/>
      <c r="H36" s="16" t="n"/>
      <c r="I36" s="17" t="n"/>
      <c r="J36" s="16" t="n"/>
    </row>
    <row r="37">
      <c r="A37" s="15" t="inlineStr">
        <is>
          <t>T3</t>
        </is>
      </c>
      <c r="B37" s="20" t="inlineStr">
        <is>
          <t>E2C</t>
        </is>
      </c>
      <c r="C37" s="17" t="inlineStr">
        <is>
          <t>S3.5</t>
        </is>
      </c>
      <c r="D37" s="16" t="inlineStr">
        <is>
          <t>Foundry partial payment</t>
        </is>
      </c>
      <c r="E37" s="16" t="inlineStr">
        <is>
          <t>EC-AR-01</t>
        </is>
      </c>
      <c r="F37" s="16" t="inlineStr">
        <is>
          <t>Remaining balance</t>
        </is>
      </c>
      <c r="G37" s="17" t="n"/>
      <c r="H37" s="16" t="n"/>
      <c r="I37" s="17" t="n"/>
      <c r="J37" s="16" t="n"/>
    </row>
    <row r="38">
      <c r="A38" s="15" t="inlineStr">
        <is>
          <t>T3</t>
        </is>
      </c>
      <c r="B38" s="21" t="inlineStr">
        <is>
          <t>P2P</t>
        </is>
      </c>
      <c r="C38" s="17" t="inlineStr">
        <is>
          <t>S3.6</t>
        </is>
      </c>
      <c r="D38" s="16" t="inlineStr">
        <is>
          <t>Tax software + audit subcontractor; duplicate guard</t>
        </is>
      </c>
      <c r="E38" s="16" t="inlineStr">
        <is>
          <t>EC-AP-02;EC-AP-12</t>
        </is>
      </c>
      <c r="F38" s="16" t="inlineStr">
        <is>
          <t>Approve-with-edits+reason; lifecycle</t>
        </is>
      </c>
      <c r="G38" s="17" t="n"/>
      <c r="H38" s="16" t="n"/>
      <c r="I38" s="17" t="n"/>
      <c r="J38" s="16" t="n"/>
    </row>
    <row r="39">
      <c r="A39" s="15" t="inlineStr">
        <is>
          <t>T3</t>
        </is>
      </c>
      <c r="B39" s="22" t="inlineStr">
        <is>
          <t>R2R</t>
        </is>
      </c>
      <c r="C39" s="17" t="inlineStr">
        <is>
          <t>S3.7</t>
        </is>
      </c>
      <c r="D39" s="16" t="inlineStr">
        <is>
          <t>Monthly closes + Granite quarter-end review</t>
        </is>
      </c>
      <c r="E39" s="16" t="inlineStr">
        <is>
          <t>EC-RR-02</t>
        </is>
      </c>
      <c r="F39" s="16" t="inlineStr">
        <is>
          <t>Comparative quarter</t>
        </is>
      </c>
      <c r="G39" s="17" t="n"/>
      <c r="H39" s="16" t="n"/>
      <c r="I39" s="17" t="n"/>
      <c r="J39" s="16" t="n"/>
    </row>
    <row r="40">
      <c r="A40" s="15" t="inlineStr">
        <is>
          <t>T3</t>
        </is>
      </c>
      <c r="B40" s="22" t="inlineStr">
        <is>
          <t>R2R</t>
        </is>
      </c>
      <c r="C40" s="17" t="inlineStr">
        <is>
          <t>S3.8</t>
        </is>
      </c>
      <c r="D40" s="16" t="inlineStr">
        <is>
          <t>Year-end FY2026 close -&gt; Inbox -&gt; Owner approve</t>
        </is>
      </c>
      <c r="E40" s="16" t="inlineStr">
        <is>
          <t>EC-RR-03</t>
        </is>
      </c>
      <c r="F40" s="16" t="inlineStr">
        <is>
          <t>year_end_close journal; dup blocked</t>
        </is>
      </c>
      <c r="G40" s="17" t="n"/>
      <c r="H40" s="16" t="n"/>
      <c r="I40" s="17" t="n"/>
      <c r="J40" s="16" t="n"/>
    </row>
    <row r="41">
      <c r="A41" s="15" t="inlineStr">
        <is>
          <t>T3</t>
        </is>
      </c>
      <c r="B41" s="22" t="inlineStr">
        <is>
          <t>R2R</t>
        </is>
      </c>
      <c r="C41" s="17" t="inlineStr">
        <is>
          <t>S3.9</t>
        </is>
      </c>
      <c r="D41" s="16" t="inlineStr">
        <is>
          <t>Statement package + Statutory Pack FY26 vs FY25</t>
        </is>
      </c>
      <c r="E41" s="16" t="inlineStr">
        <is>
          <t>EC-RR-13</t>
        </is>
      </c>
      <c r="F41" s="16" t="inlineStr">
        <is>
          <t>TB balances; pack reconciles</t>
        </is>
      </c>
      <c r="G41" s="17" t="n"/>
      <c r="H41" s="16" t="n"/>
      <c r="I41" s="17" t="n"/>
      <c r="J41" s="16" t="n"/>
    </row>
    <row r="42">
      <c r="A42" s="15" t="inlineStr">
        <is>
          <t>T3</t>
        </is>
      </c>
      <c r="B42" s="22" t="inlineStr">
        <is>
          <t>R2R</t>
        </is>
      </c>
      <c r="C42" s="17" t="inlineStr">
        <is>
          <t>S3.10</t>
        </is>
      </c>
      <c r="D42" s="16" t="inlineStr">
        <is>
          <t>Manual journal hi-value 2nd approver; reverse; edit blocked</t>
        </is>
      </c>
      <c r="E42" s="16" t="inlineStr">
        <is>
          <t>EC-RR-10;EC-RR-11;EC-RR-12</t>
        </is>
      </c>
      <c r="F42" s="16" t="inlineStr">
        <is>
          <t>2nd approver; reversal; 405</t>
        </is>
      </c>
      <c r="G42" s="17" t="n"/>
      <c r="H42" s="16" t="n"/>
      <c r="I42" s="17" t="n"/>
      <c r="J42" s="16" t="n"/>
    </row>
    <row r="43">
      <c r="A43" s="15" t="inlineStr">
        <is>
          <t>T4</t>
        </is>
      </c>
      <c r="B43" s="19" t="inlineStr">
        <is>
          <t>Setup</t>
        </is>
      </c>
      <c r="C43" s="17" t="inlineStr">
        <is>
          <t>S4.0</t>
        </is>
      </c>
      <c r="D43" s="16" t="inlineStr">
        <is>
          <t>Sign up (SGD/SG); GST; confirm fx_rates</t>
        </is>
      </c>
      <c r="E43" s="16" t="inlineStr"/>
      <c r="F43" s="16" t="inlineStr">
        <is>
          <t>GST seeded; FX present</t>
        </is>
      </c>
      <c r="G43" s="17" t="n"/>
      <c r="H43" s="16" t="n"/>
      <c r="I43" s="17" t="n"/>
      <c r="J43" s="16" t="n"/>
    </row>
    <row r="44">
      <c r="A44" s="15" t="inlineStr">
        <is>
          <t>T4</t>
        </is>
      </c>
      <c r="B44" s="20" t="inlineStr">
        <is>
          <t>E2C</t>
        </is>
      </c>
      <c r="C44" s="17" t="inlineStr">
        <is>
          <t>S4.1</t>
        </is>
      </c>
      <c r="D44" s="16" t="inlineStr">
        <is>
          <t>Pacific Rim USD invoice; receipt FX move</t>
        </is>
      </c>
      <c r="E44" s="16" t="inlineStr">
        <is>
          <t>EC-FX-01;EC-FX-02</t>
        </is>
      </c>
      <c r="F44" s="16" t="inlineStr">
        <is>
          <t>base+fx_rate_id; realised FX</t>
        </is>
      </c>
      <c r="G44" s="17" t="n"/>
      <c r="H44" s="16" t="n"/>
      <c r="I44" s="17" t="n"/>
      <c r="J44" s="16" t="n"/>
    </row>
    <row r="45">
      <c r="A45" s="15" t="inlineStr">
        <is>
          <t>T4</t>
        </is>
      </c>
      <c r="B45" s="20" t="inlineStr">
        <is>
          <t>E2C</t>
        </is>
      </c>
      <c r="C45" s="17" t="inlineStr">
        <is>
          <t>S4.2</t>
        </is>
      </c>
      <c r="D45" s="16" t="inlineStr">
        <is>
          <t>Thistle first-time GBP invoice; missing-rate refusal</t>
        </is>
      </c>
      <c r="E45" s="16" t="inlineStr">
        <is>
          <t>EC-FX-04</t>
        </is>
      </c>
      <c r="F45" s="16" t="inlineStr">
        <is>
          <t>Refuse if no rate</t>
        </is>
      </c>
      <c r="G45" s="17" t="n"/>
      <c r="H45" s="16" t="n"/>
      <c r="I45" s="17" t="n"/>
      <c r="J45" s="16" t="n"/>
    </row>
    <row r="46">
      <c r="A46" s="15" t="inlineStr">
        <is>
          <t>T4</t>
        </is>
      </c>
      <c r="B46" s="20" t="inlineStr">
        <is>
          <t>E2C</t>
        </is>
      </c>
      <c r="C46" s="17" t="inlineStr">
        <is>
          <t>S4.3</t>
        </is>
      </c>
      <c r="D46" s="16" t="inlineStr">
        <is>
          <t>Kowloon stale-rate confirm</t>
        </is>
      </c>
      <c r="E46" s="16" t="inlineStr">
        <is>
          <t>EC-FX-03</t>
        </is>
      </c>
      <c r="F46" s="16" t="inlineStr">
        <is>
          <t>Warning + explicit confirm</t>
        </is>
      </c>
      <c r="G46" s="17" t="n"/>
      <c r="H46" s="16" t="n"/>
      <c r="I46" s="17" t="n"/>
      <c r="J46" s="16" t="n"/>
    </row>
    <row r="47">
      <c r="A47" s="15" t="inlineStr">
        <is>
          <t>T4</t>
        </is>
      </c>
      <c r="B47" s="20" t="inlineStr">
        <is>
          <t>E2C</t>
        </is>
      </c>
      <c r="C47" s="17" t="inlineStr">
        <is>
          <t>S4.4</t>
        </is>
      </c>
      <c r="D47" s="16" t="inlineStr">
        <is>
          <t>Harbourfront round-trip residual</t>
        </is>
      </c>
      <c r="E47" s="16" t="inlineStr">
        <is>
          <t>EC-FX-05</t>
        </is>
      </c>
      <c r="F47" s="16" t="inlineStr">
        <is>
          <t>Residual to FX g/l; source untouched</t>
        </is>
      </c>
      <c r="G47" s="17" t="n"/>
      <c r="H47" s="16" t="n"/>
      <c r="I47" s="17" t="n"/>
      <c r="J47" s="16" t="n"/>
    </row>
    <row r="48">
      <c r="A48" s="15" t="inlineStr">
        <is>
          <t>T4</t>
        </is>
      </c>
      <c r="B48" s="21" t="inlineStr">
        <is>
          <t>P2P</t>
        </is>
      </c>
      <c r="C48" s="17" t="inlineStr">
        <is>
          <t>S4.5</t>
        </is>
      </c>
      <c r="D48" s="16" t="inlineStr">
        <is>
          <t>Overseas correspondent foreign-ccy bill; lifecycle</t>
        </is>
      </c>
      <c r="E48" s="16" t="inlineStr">
        <is>
          <t>EC-AP-05;EC-AP-12</t>
        </is>
      </c>
      <c r="F48" s="16" t="inlineStr">
        <is>
          <t>Base amount; FX lock toggle</t>
        </is>
      </c>
      <c r="G48" s="17" t="n"/>
      <c r="H48" s="16" t="n"/>
      <c r="I48" s="17" t="n"/>
      <c r="J48" s="16" t="n"/>
    </row>
    <row r="49">
      <c r="A49" s="15" t="inlineStr">
        <is>
          <t>T4</t>
        </is>
      </c>
      <c r="B49" s="22" t="inlineStr">
        <is>
          <t>R2R</t>
        </is>
      </c>
      <c r="C49" s="17" t="inlineStr">
        <is>
          <t>S4.6</t>
        </is>
      </c>
      <c r="D49" s="16" t="inlineStr">
        <is>
          <t>Orchid SGD dividend manual journal -&gt; Inbox approve</t>
        </is>
      </c>
      <c r="E49" s="16" t="inlineStr">
        <is>
          <t>EC-FX-06;EC-RR-10</t>
        </is>
      </c>
      <c r="F49" s="16" t="inlineStr">
        <is>
          <t>Transaction+base+fx_rate_id; same-user denied</t>
        </is>
      </c>
      <c r="G49" s="17" t="n"/>
      <c r="H49" s="16" t="n"/>
      <c r="I49" s="17" t="n"/>
      <c r="J49" s="16" t="n"/>
    </row>
    <row r="50">
      <c r="A50" s="15" t="inlineStr">
        <is>
          <t>T4</t>
        </is>
      </c>
      <c r="B50" s="22" t="inlineStr">
        <is>
          <t>R2R</t>
        </is>
      </c>
      <c r="C50" s="17" t="inlineStr">
        <is>
          <t>S4.7</t>
        </is>
      </c>
      <c r="D50" s="16" t="inlineStr">
        <is>
          <t>Quarterly GST close Q2 + comparative; multi-ccy toggle</t>
        </is>
      </c>
      <c r="E50" s="16" t="inlineStr">
        <is>
          <t>EC-RR-02</t>
        </is>
      </c>
      <c r="F50" s="16" t="inlineStr">
        <is>
          <t>Statements reconcile; no silent missing rate</t>
        </is>
      </c>
      <c r="G50" s="17" t="n"/>
      <c r="H50" s="16" t="n"/>
      <c r="I50" s="17" t="n"/>
      <c r="J50" s="16" t="n"/>
    </row>
    <row r="51">
      <c r="A51" s="15" t="inlineStr">
        <is>
          <t>T5</t>
        </is>
      </c>
      <c r="B51" s="19" t="inlineStr">
        <is>
          <t>Setup</t>
        </is>
      </c>
      <c r="C51" s="17" t="inlineStr">
        <is>
          <t>S5.0</t>
        </is>
      </c>
      <c r="D51" s="16" t="inlineStr">
        <is>
          <t>Sign up (INR/IN); GST; Owner money-out cap</t>
        </is>
      </c>
      <c r="E51" s="16" t="inlineStr"/>
      <c r="F51" s="16" t="inlineStr">
        <is>
          <t>GST + cap configured</t>
        </is>
      </c>
      <c r="G51" s="17" t="n"/>
      <c r="H51" s="16" t="n"/>
      <c r="I51" s="17" t="n"/>
      <c r="J51" s="16" t="n"/>
    </row>
    <row r="52">
      <c r="A52" s="15" t="inlineStr">
        <is>
          <t>T5</t>
        </is>
      </c>
      <c r="B52" s="20" t="inlineStr">
        <is>
          <t>E2C</t>
        </is>
      </c>
      <c r="C52" s="17" t="inlineStr">
        <is>
          <t>S5.1</t>
        </is>
      </c>
      <c r="D52" s="16" t="inlineStr">
        <is>
          <t>Deccan 3-yr milestone program; WIP accrual</t>
        </is>
      </c>
      <c r="E52" s="16" t="inlineStr">
        <is>
          <t>EC-BILL-03</t>
        </is>
      </c>
      <c r="F52" s="16" t="inlineStr">
        <is>
          <t>Long-horizon milestones</t>
        </is>
      </c>
      <c r="G52" s="17" t="n"/>
      <c r="H52" s="16" t="n"/>
      <c r="I52" s="17" t="n"/>
      <c r="J52" s="16" t="n"/>
    </row>
    <row r="53">
      <c r="A53" s="15" t="inlineStr">
        <is>
          <t>T5</t>
        </is>
      </c>
      <c r="B53" s="20" t="inlineStr">
        <is>
          <t>E2C</t>
        </is>
      </c>
      <c r="C53" s="17" t="inlineStr">
        <is>
          <t>S5.2</t>
        </is>
      </c>
      <c r="D53" s="16" t="inlineStr">
        <is>
          <t>Vindhya mixed (fixed+T&amp;M) single invoice</t>
        </is>
      </c>
      <c r="E53" s="16" t="inlineStr">
        <is>
          <t>EC-BILL-07</t>
        </is>
      </c>
      <c r="F53" s="16" t="inlineStr">
        <is>
          <t>Mixed lines</t>
        </is>
      </c>
      <c r="G53" s="17" t="n"/>
      <c r="H53" s="16" t="n"/>
      <c r="I53" s="17" t="n"/>
      <c r="J53" s="16" t="n"/>
    </row>
    <row r="54">
      <c r="A54" s="15" t="inlineStr">
        <is>
          <t>T5</t>
        </is>
      </c>
      <c r="B54" s="21" t="inlineStr">
        <is>
          <t>P2P</t>
        </is>
      </c>
      <c r="C54" s="17" t="inlineStr">
        <is>
          <t>S5.3</t>
        </is>
      </c>
      <c r="D54" s="16" t="inlineStr">
        <is>
          <t>Survey EQUIPMENT invoice; code to asset; PO match</t>
        </is>
      </c>
      <c r="E54" s="16" t="inlineStr">
        <is>
          <t>EC-AP-03</t>
        </is>
      </c>
      <c r="F54" s="16" t="inlineStr">
        <is>
          <t>Asset coding; PO match</t>
        </is>
      </c>
      <c r="G54" s="17" t="n"/>
      <c r="H54" s="16" t="n"/>
      <c r="I54" s="17" t="n"/>
      <c r="J54" s="16" t="n"/>
    </row>
    <row r="55">
      <c r="A55" s="15" t="inlineStr">
        <is>
          <t>T5</t>
        </is>
      </c>
      <c r="B55" s="21" t="inlineStr">
        <is>
          <t>P2P</t>
        </is>
      </c>
      <c r="C55" s="17" t="inlineStr">
        <is>
          <t>S5.4</t>
        </is>
      </c>
      <c r="D55" s="16" t="inlineStr">
        <is>
          <t>Subcontractor invoice + duplicate guard</t>
        </is>
      </c>
      <c r="E55" s="16" t="inlineStr">
        <is>
          <t>EC-AP-02</t>
        </is>
      </c>
      <c r="F55" s="16" t="inlineStr">
        <is>
          <t>Approve-with-edits + reason</t>
        </is>
      </c>
      <c r="G55" s="17" t="n"/>
      <c r="H55" s="16" t="n"/>
      <c r="I55" s="17" t="n"/>
      <c r="J55" s="16" t="n"/>
    </row>
    <row r="56">
      <c r="A56" s="15" t="inlineStr">
        <is>
          <t>T5</t>
        </is>
      </c>
      <c r="B56" s="21" t="inlineStr">
        <is>
          <t>P2P</t>
        </is>
      </c>
      <c r="C56" s="17" t="inlineStr">
        <is>
          <t>S5.5</t>
        </is>
      </c>
      <c r="D56" s="16" t="inlineStr">
        <is>
          <t>Coastal no-PO service-order mismatch</t>
        </is>
      </c>
      <c r="E56" s="16" t="inlineStr">
        <is>
          <t>EC-AP-03</t>
        </is>
      </c>
      <c r="F56" s="16" t="inlineStr">
        <is>
          <t>Draft until justified</t>
        </is>
      </c>
      <c r="G56" s="17" t="n"/>
      <c r="H56" s="16" t="n"/>
      <c r="I56" s="17" t="n"/>
      <c r="J56" s="16" t="n"/>
    </row>
    <row r="57">
      <c r="A57" s="15" t="inlineStr">
        <is>
          <t>T5</t>
        </is>
      </c>
      <c r="B57" s="21" t="inlineStr">
        <is>
          <t>P2P</t>
        </is>
      </c>
      <c r="C57" s="17" t="inlineStr">
        <is>
          <t>S5.6</t>
        </is>
      </c>
      <c r="D57" s="16" t="inlineStr">
        <is>
          <t>Meghna multi-line mixed-GST bill</t>
        </is>
      </c>
      <c r="E57" s="16" t="inlineStr">
        <is>
          <t>EC-AP-10</t>
        </is>
      </c>
      <c r="F57" s="16" t="inlineStr">
        <is>
          <t>Per-line tax + journal</t>
        </is>
      </c>
      <c r="G57" s="17" t="n"/>
      <c r="H57" s="16" t="n"/>
      <c r="I57" s="17" t="n"/>
      <c r="J57" s="16" t="n"/>
    </row>
    <row r="58">
      <c r="A58" s="15" t="inlineStr">
        <is>
          <t>T5</t>
        </is>
      </c>
      <c r="B58" s="21" t="inlineStr">
        <is>
          <t>P2P</t>
        </is>
      </c>
      <c r="C58" s="17" t="inlineStr">
        <is>
          <t>S5.7</t>
        </is>
      </c>
      <c r="D58" s="16" t="inlineStr">
        <is>
          <t>Nilgiri vendor no bank details</t>
        </is>
      </c>
      <c r="E58" s="16" t="inlineStr">
        <is>
          <t>EC-AP-04</t>
        </is>
      </c>
      <c r="F58" s="16" t="inlineStr">
        <is>
          <t>Blocked from batch</t>
        </is>
      </c>
      <c r="G58" s="17" t="n"/>
      <c r="H58" s="16" t="n"/>
      <c r="I58" s="17" t="n"/>
      <c r="J58" s="16" t="n"/>
    </row>
    <row r="59">
      <c r="A59" s="15" t="inlineStr">
        <is>
          <t>T5</t>
        </is>
      </c>
      <c r="B59" s="21" t="inlineStr">
        <is>
          <t>P2P</t>
        </is>
      </c>
      <c r="C59" s="17" t="inlineStr">
        <is>
          <t>S5.8</t>
        </is>
      </c>
      <c r="D59" s="16" t="inlineStr">
        <is>
          <t>Saffron bill &gt; balance threshold -&gt; Owner approve</t>
        </is>
      </c>
      <c r="E59" s="16" t="inlineStr">
        <is>
          <t>EC-AP-09;EC-RBAC-03</t>
        </is>
      </c>
      <c r="F59" s="16" t="inlineStr">
        <is>
          <t>Owner approval required</t>
        </is>
      </c>
      <c r="G59" s="17" t="n"/>
      <c r="H59" s="16" t="n"/>
      <c r="I59" s="17" t="n"/>
      <c r="J59" s="16" t="n"/>
    </row>
    <row r="60">
      <c r="A60" s="15" t="inlineStr">
        <is>
          <t>T5</t>
        </is>
      </c>
      <c r="B60" s="21" t="inlineStr">
        <is>
          <t>P2P</t>
        </is>
      </c>
      <c r="C60" s="17" t="inlineStr">
        <is>
          <t>S5.9</t>
        </is>
      </c>
      <c r="D60" s="16" t="inlineStr">
        <is>
          <t>Konkan early-pay discount 2/10 net 30</t>
        </is>
      </c>
      <c r="E60" s="16" t="inlineStr">
        <is>
          <t>EC-AP-07</t>
        </is>
      </c>
      <c r="F60" s="16" t="inlineStr">
        <is>
          <t>Pay-date in window; credit line</t>
        </is>
      </c>
      <c r="G60" s="17" t="n"/>
      <c r="H60" s="16" t="n"/>
      <c r="I60" s="17" t="n"/>
      <c r="J60" s="16" t="n"/>
    </row>
    <row r="61">
      <c r="A61" s="15" t="inlineStr">
        <is>
          <t>T5</t>
        </is>
      </c>
      <c r="B61" s="21" t="inlineStr">
        <is>
          <t>P2P</t>
        </is>
      </c>
      <c r="C61" s="17" t="inlineStr">
        <is>
          <t>S5.10</t>
        </is>
      </c>
      <c r="D61" s="16" t="inlineStr">
        <is>
          <t>Bharat export-&gt;sent-&gt;settle; regenerate file warning; partial</t>
        </is>
      </c>
      <c r="E61" s="16" t="inlineStr">
        <is>
          <t>EC-AP-12;EC-AP-08;EC-AP-06</t>
        </is>
      </c>
      <c r="F61" s="16" t="inlineStr">
        <is>
          <t>3 steps; idempotency warn; partially_paid</t>
        </is>
      </c>
      <c r="G61" s="17" t="n"/>
      <c r="H61" s="16" t="n"/>
      <c r="I61" s="17" t="n"/>
      <c r="J61" s="16" t="n"/>
    </row>
    <row r="62">
      <c r="A62" s="15" t="inlineStr">
        <is>
          <t>T5</t>
        </is>
      </c>
      <c r="B62" s="22" t="inlineStr">
        <is>
          <t>R2R</t>
        </is>
      </c>
      <c r="C62" s="17" t="inlineStr">
        <is>
          <t>S5.11</t>
        </is>
      </c>
      <c r="D62" s="16" t="inlineStr">
        <is>
          <t>Monthly + Yamuna quarter-end (large WIP)</t>
        </is>
      </c>
      <c r="E62" s="16" t="inlineStr">
        <is>
          <t>EC-RR-02</t>
        </is>
      </c>
      <c r="F62" s="16" t="inlineStr">
        <is>
          <t>WIP report reconciles</t>
        </is>
      </c>
      <c r="G62" s="17" t="n"/>
      <c r="H62" s="16" t="n"/>
      <c r="I62" s="17" t="n"/>
      <c r="J62" s="16" t="n"/>
    </row>
    <row r="63">
      <c r="A63" s="15" t="inlineStr">
        <is>
          <t>T5</t>
        </is>
      </c>
      <c r="B63" s="22" t="inlineStr">
        <is>
          <t>R2R</t>
        </is>
      </c>
      <c r="C63" s="17" t="inlineStr">
        <is>
          <t>S5.12</t>
        </is>
      </c>
      <c r="D63" s="16" t="inlineStr">
        <is>
          <t>AP Aging clears; Cash Flow reflects outflows</t>
        </is>
      </c>
      <c r="E63" s="16" t="inlineStr"/>
      <c r="F63" s="16" t="inlineStr">
        <is>
          <t>Aging + CF tie-out</t>
        </is>
      </c>
      <c r="G63" s="17" t="n"/>
      <c r="H63" s="16" t="n"/>
      <c r="I63" s="17" t="n"/>
      <c r="J63" s="16" t="n"/>
    </row>
    <row r="64">
      <c r="A64" s="15" t="inlineStr">
        <is>
          <t>T6</t>
        </is>
      </c>
      <c r="B64" s="19" t="inlineStr">
        <is>
          <t>Setup</t>
        </is>
      </c>
      <c r="C64" s="17" t="inlineStr">
        <is>
          <t>S6.0</t>
        </is>
      </c>
      <c r="D64" s="16" t="inlineStr">
        <is>
          <t>Sign up (AUD/AU); GST; trust/retainer account</t>
        </is>
      </c>
      <c r="E64" s="16" t="inlineStr"/>
      <c r="F64" s="16" t="inlineStr">
        <is>
          <t>GST + retainer set</t>
        </is>
      </c>
      <c r="G64" s="17" t="n"/>
      <c r="H64" s="16" t="n"/>
      <c r="I64" s="17" t="n"/>
      <c r="J64" s="16" t="n"/>
    </row>
    <row r="65">
      <c r="A65" s="15" t="inlineStr">
        <is>
          <t>T6</t>
        </is>
      </c>
      <c r="B65" s="20" t="inlineStr">
        <is>
          <t>E2C</t>
        </is>
      </c>
      <c r="C65" s="17" t="inlineStr">
        <is>
          <t>S6.1</t>
        </is>
      </c>
      <c r="D65" s="16" t="inlineStr">
        <is>
          <t>Brindabella retainer-draw; floor warning</t>
        </is>
      </c>
      <c r="E65" s="16" t="inlineStr">
        <is>
          <t>EC-BILL-05</t>
        </is>
      </c>
      <c r="F65" s="16" t="inlineStr">
        <is>
          <t>Negative 'retainer applied'; floor alert</t>
        </is>
      </c>
      <c r="G65" s="17" t="n"/>
      <c r="H65" s="16" t="n"/>
      <c r="I65" s="17" t="n"/>
      <c r="J65" s="16" t="n"/>
    </row>
    <row r="66">
      <c r="A66" s="15" t="inlineStr">
        <is>
          <t>T6</t>
        </is>
      </c>
      <c r="B66" s="20" t="inlineStr">
        <is>
          <t>E2C</t>
        </is>
      </c>
      <c r="C66" s="17" t="inlineStr">
        <is>
          <t>S6.2</t>
        </is>
      </c>
      <c r="D66" s="16" t="inlineStr">
        <is>
          <t>Eureka draw floor warning + top-up</t>
        </is>
      </c>
      <c r="E66" s="16" t="inlineStr">
        <is>
          <t>EC-BILL-05</t>
        </is>
      </c>
      <c r="F66" s="16" t="inlineStr">
        <is>
          <t>Floor warning</t>
        </is>
      </c>
      <c r="G66" s="17" t="n"/>
      <c r="H66" s="16" t="n"/>
      <c r="I66" s="17" t="n"/>
      <c r="J66" s="16" t="n"/>
    </row>
    <row r="67">
      <c r="A67" s="15" t="inlineStr">
        <is>
          <t>T6</t>
        </is>
      </c>
      <c r="B67" s="20" t="inlineStr">
        <is>
          <t>E2C</t>
        </is>
      </c>
      <c r="C67" s="17" t="inlineStr">
        <is>
          <t>S6.3</t>
        </is>
      </c>
      <c r="D67" s="16" t="inlineStr">
        <is>
          <t>Coral/Banksia per-matter fixed; Banksia partial</t>
        </is>
      </c>
      <c r="E67" s="16" t="inlineStr">
        <is>
          <t>EC-BILL-02;EC-AR-01</t>
        </is>
      </c>
      <c r="F67" s="16" t="inlineStr">
        <is>
          <t>Milestone fixed; remaining balance</t>
        </is>
      </c>
      <c r="G67" s="17" t="n"/>
      <c r="H67" s="16" t="n"/>
      <c r="I67" s="17" t="n"/>
      <c r="J67" s="16" t="n"/>
    </row>
    <row r="68">
      <c r="A68" s="15" t="inlineStr">
        <is>
          <t>T6</t>
        </is>
      </c>
      <c r="B68" s="20" t="inlineStr">
        <is>
          <t>E2C</t>
        </is>
      </c>
      <c r="C68" s="17" t="inlineStr">
        <is>
          <t>S6.4</t>
        </is>
      </c>
      <c r="D68" s="16" t="inlineStr">
        <is>
          <t>Wattle disputed invoice -&gt; collections hold</t>
        </is>
      </c>
      <c r="E68" s="16" t="inlineStr">
        <is>
          <t>EC-AR-02</t>
        </is>
      </c>
      <c r="F68" s="16" t="inlineStr">
        <is>
          <t>No reminder until cleared</t>
        </is>
      </c>
      <c r="G68" s="17" t="n"/>
      <c r="H68" s="16" t="n"/>
      <c r="I68" s="17" t="n"/>
      <c r="J68" s="16" t="n"/>
    </row>
    <row r="69">
      <c r="A69" s="15" t="inlineStr">
        <is>
          <t>T6</t>
        </is>
      </c>
      <c r="B69" s="20" t="inlineStr">
        <is>
          <t>E2C</t>
        </is>
      </c>
      <c r="C69" s="17" t="inlineStr">
        <is>
          <t>S6.5</t>
        </is>
      </c>
      <c r="D69" s="16" t="inlineStr">
        <is>
          <t>Federation per-filing consolidated</t>
        </is>
      </c>
      <c r="E69" s="16" t="inlineStr">
        <is>
          <t>EC-BILL-09</t>
        </is>
      </c>
      <c r="F69" s="16" t="inlineStr">
        <is>
          <t>Consolidated invoice</t>
        </is>
      </c>
      <c r="G69" s="17" t="n"/>
      <c r="H69" s="16" t="n"/>
      <c r="I69" s="17" t="n"/>
      <c r="J69" s="16" t="n"/>
    </row>
    <row r="70">
      <c r="A70" s="15" t="inlineStr">
        <is>
          <t>T6</t>
        </is>
      </c>
      <c r="B70" s="21" t="inlineStr">
        <is>
          <t>P2P</t>
        </is>
      </c>
      <c r="C70" s="17" t="inlineStr">
        <is>
          <t>S6.6</t>
        </is>
      </c>
      <c r="D70" s="16" t="inlineStr">
        <is>
          <t>Expert-witness subcontractor PO mismatch; court fees partial; research recurring</t>
        </is>
      </c>
      <c r="E70" s="16" t="inlineStr">
        <is>
          <t>EC-AP-03;EC-AP-06;EC-AP-11;EC-AP-12</t>
        </is>
      </c>
      <c r="F70" s="16" t="inlineStr">
        <is>
          <t>Lifecycle + edges</t>
        </is>
      </c>
      <c r="G70" s="17" t="n"/>
      <c r="H70" s="16" t="n"/>
      <c r="I70" s="17" t="n"/>
      <c r="J70" s="16" t="n"/>
    </row>
    <row r="71">
      <c r="A71" s="15" t="inlineStr">
        <is>
          <t>T6</t>
        </is>
      </c>
      <c r="B71" s="22" t="inlineStr">
        <is>
          <t>R2R</t>
        </is>
      </c>
      <c r="C71" s="17" t="inlineStr">
        <is>
          <t>S6.7</t>
        </is>
      </c>
      <c r="D71" s="16" t="inlineStr">
        <is>
          <t>Monthly close; Bondi backdated post into locked period</t>
        </is>
      </c>
      <c r="E71" s="16" t="inlineStr">
        <is>
          <t>EC-RR-04</t>
        </is>
      </c>
      <c r="F71" s="16" t="inlineStr">
        <is>
          <t>422 period_locked</t>
        </is>
      </c>
      <c r="G71" s="17" t="n"/>
      <c r="H71" s="16" t="n"/>
      <c r="I71" s="17" t="n"/>
      <c r="J71" s="16" t="n"/>
    </row>
    <row r="72">
      <c r="A72" s="15" t="inlineStr">
        <is>
          <t>T6</t>
        </is>
      </c>
      <c r="B72" s="22" t="inlineStr">
        <is>
          <t>R2R</t>
        </is>
      </c>
      <c r="C72" s="17" t="inlineStr">
        <is>
          <t>S6.8</t>
        </is>
      </c>
      <c r="D72" s="16" t="inlineStr">
        <is>
          <t>Statement + management pack read-only reconcile</t>
        </is>
      </c>
      <c r="E72" s="16" t="inlineStr">
        <is>
          <t>EC-RR-13</t>
        </is>
      </c>
      <c r="F72" s="16" t="inlineStr">
        <is>
          <t>No mutation; reconciles</t>
        </is>
      </c>
      <c r="G72" s="17" t="n"/>
      <c r="H72" s="16" t="n"/>
      <c r="I72" s="17" t="n"/>
      <c r="J72" s="16" t="n"/>
    </row>
    <row r="73">
      <c r="A73" s="15" t="inlineStr">
        <is>
          <t>T7</t>
        </is>
      </c>
      <c r="B73" s="19" t="inlineStr">
        <is>
          <t>Setup</t>
        </is>
      </c>
      <c r="C73" s="17" t="inlineStr">
        <is>
          <t>S7.0</t>
        </is>
      </c>
      <c r="D73" s="16" t="inlineStr">
        <is>
          <t>Sign up (USD); EUR/GBP deal ccys; FX present</t>
        </is>
      </c>
      <c r="E73" s="16" t="inlineStr"/>
      <c r="F73" s="16" t="inlineStr">
        <is>
          <t>FX seeded</t>
        </is>
      </c>
      <c r="G73" s="17" t="n"/>
      <c r="H73" s="16" t="n"/>
      <c r="I73" s="17" t="n"/>
      <c r="J73" s="16" t="n"/>
    </row>
    <row r="74">
      <c r="A74" s="15" t="inlineStr">
        <is>
          <t>T7</t>
        </is>
      </c>
      <c r="B74" s="20" t="inlineStr">
        <is>
          <t>E2C</t>
        </is>
      </c>
      <c r="C74" s="17" t="inlineStr">
        <is>
          <t>S7.1</t>
        </is>
      </c>
      <c r="D74" s="16" t="inlineStr">
        <is>
          <t>Redwood success-fee milestone (estimated)</t>
        </is>
      </c>
      <c r="E74" s="16" t="inlineStr">
        <is>
          <t>EC-BILL-08</t>
        </is>
      </c>
      <c r="F74" s="16" t="inlineStr">
        <is>
          <t>Estimated milestone</t>
        </is>
      </c>
      <c r="G74" s="17" t="n"/>
      <c r="H74" s="16" t="n"/>
      <c r="I74" s="17" t="n"/>
      <c r="J74" s="16" t="n"/>
    </row>
    <row r="75">
      <c r="A75" s="15" t="inlineStr">
        <is>
          <t>T7</t>
        </is>
      </c>
      <c r="B75" s="20" t="inlineStr">
        <is>
          <t>E2C</t>
        </is>
      </c>
      <c r="C75" s="17" t="inlineStr">
        <is>
          <t>S7.2</t>
        </is>
      </c>
      <c r="D75" s="16" t="inlineStr">
        <is>
          <t>Redwood closes higher -&gt; update milestone + invoice</t>
        </is>
      </c>
      <c r="E75" s="16" t="inlineStr">
        <is>
          <t>EC-BILL-08</t>
        </is>
      </c>
      <c r="F75" s="16" t="inlineStr">
        <is>
          <t>Recomputed; partner approves</t>
        </is>
      </c>
      <c r="G75" s="17" t="n"/>
      <c r="H75" s="16" t="n"/>
      <c r="I75" s="17" t="n"/>
      <c r="J75" s="16" t="n"/>
    </row>
    <row r="76">
      <c r="A76" s="15" t="inlineStr">
        <is>
          <t>T7</t>
        </is>
      </c>
      <c r="B76" s="20" t="inlineStr">
        <is>
          <t>E2C</t>
        </is>
      </c>
      <c r="C76" s="17" t="inlineStr">
        <is>
          <t>S7.3</t>
        </is>
      </c>
      <c r="D76" s="16" t="inlineStr">
        <is>
          <t>Hanseatic/Nordstern EUR deals; FX provenance</t>
        </is>
      </c>
      <c r="E76" s="16" t="inlineStr">
        <is>
          <t>EC-FX-01;EC-FX-02;EC-FX-04</t>
        </is>
      </c>
      <c r="F76" s="16" t="inlineStr">
        <is>
          <t>Base amount; realised FX</t>
        </is>
      </c>
      <c r="G76" s="17" t="n"/>
      <c r="H76" s="16" t="n"/>
      <c r="I76" s="17" t="n"/>
      <c r="J76" s="16" t="n"/>
    </row>
    <row r="77">
      <c r="A77" s="15" t="inlineStr">
        <is>
          <t>T7</t>
        </is>
      </c>
      <c r="B77" s="20" t="inlineStr">
        <is>
          <t>E2C</t>
        </is>
      </c>
      <c r="C77" s="17" t="inlineStr">
        <is>
          <t>S7.4</t>
        </is>
      </c>
      <c r="D77" s="16" t="inlineStr">
        <is>
          <t>Albion retainer + success-fee mix</t>
        </is>
      </c>
      <c r="E77" s="16" t="inlineStr">
        <is>
          <t>EC-BILL-07</t>
        </is>
      </c>
      <c r="F77" s="16" t="inlineStr">
        <is>
          <t>Mixed invoice</t>
        </is>
      </c>
      <c r="G77" s="17" t="n"/>
      <c r="H77" s="16" t="n"/>
      <c r="I77" s="17" t="n"/>
      <c r="J77" s="16" t="n"/>
    </row>
    <row r="78">
      <c r="A78" s="15" t="inlineStr">
        <is>
          <t>T7</t>
        </is>
      </c>
      <c r="B78" s="20" t="inlineStr">
        <is>
          <t>E2C</t>
        </is>
      </c>
      <c r="C78" s="17" t="inlineStr">
        <is>
          <t>S7.5</t>
        </is>
      </c>
      <c r="D78" s="16" t="inlineStr">
        <is>
          <t>Zenith escrow holdback as partial</t>
        </is>
      </c>
      <c r="E78" s="16" t="inlineStr">
        <is>
          <t>EC-AR-01</t>
        </is>
      </c>
      <c r="F78" s="16" t="inlineStr">
        <is>
          <t>Remaining tracked</t>
        </is>
      </c>
      <c r="G78" s="17" t="n"/>
      <c r="H78" s="16" t="n"/>
      <c r="I78" s="17" t="n"/>
      <c r="J78" s="16" t="n"/>
    </row>
    <row r="79">
      <c r="A79" s="15" t="inlineStr">
        <is>
          <t>T7</t>
        </is>
      </c>
      <c r="B79" s="20" t="inlineStr">
        <is>
          <t>E2C</t>
        </is>
      </c>
      <c r="C79" s="17" t="inlineStr">
        <is>
          <t>S7.6</t>
        </is>
      </c>
      <c r="D79" s="16" t="inlineStr">
        <is>
          <t>Sable aborted deal -&gt; credit/courtesy</t>
        </is>
      </c>
      <c r="E79" s="16" t="inlineStr">
        <is>
          <t>EC-BILL-11;EC-BILL-12</t>
        </is>
      </c>
      <c r="F79" s="16" t="inlineStr">
        <is>
          <t>No fee; credit</t>
        </is>
      </c>
      <c r="G79" s="17" t="n"/>
      <c r="H79" s="16" t="n"/>
      <c r="I79" s="17" t="n"/>
      <c r="J79" s="16" t="n"/>
    </row>
    <row r="80">
      <c r="A80" s="15" t="inlineStr">
        <is>
          <t>T7</t>
        </is>
      </c>
      <c r="B80" s="21" t="inlineStr">
        <is>
          <t>P2P</t>
        </is>
      </c>
      <c r="C80" s="17" t="inlineStr">
        <is>
          <t>S7.7</t>
        </is>
      </c>
      <c r="D80" s="16" t="inlineStr">
        <is>
          <t>Data-room+travel+DD subcontractor; recurring auto-match</t>
        </is>
      </c>
      <c r="E80" s="16" t="inlineStr">
        <is>
          <t>EC-AP-11;EC-AP-12</t>
        </is>
      </c>
      <c r="F80" s="16" t="inlineStr">
        <is>
          <t>Lifecycle</t>
        </is>
      </c>
      <c r="G80" s="17" t="n"/>
      <c r="H80" s="16" t="n"/>
      <c r="I80" s="17" t="n"/>
      <c r="J80" s="16" t="n"/>
    </row>
    <row r="81">
      <c r="A81" s="15" t="inlineStr">
        <is>
          <t>T7</t>
        </is>
      </c>
      <c r="B81" s="22" t="inlineStr">
        <is>
          <t>R2R</t>
        </is>
      </c>
      <c r="C81" s="17" t="inlineStr">
        <is>
          <t>S7.8</t>
        </is>
      </c>
      <c r="D81" s="16" t="inlineStr">
        <is>
          <t>Quarterly close w/ deal spikes; comparative</t>
        </is>
      </c>
      <c r="E81" s="16" t="inlineStr">
        <is>
          <t>EC-RR-02</t>
        </is>
      </c>
      <c r="F81" s="16" t="inlineStr">
        <is>
          <t>Variances</t>
        </is>
      </c>
      <c r="G81" s="17" t="n"/>
      <c r="H81" s="16" t="n"/>
      <c r="I81" s="17" t="n"/>
      <c r="J81" s="16" t="n"/>
    </row>
    <row r="82">
      <c r="A82" s="15" t="inlineStr">
        <is>
          <t>T7</t>
        </is>
      </c>
      <c r="B82" s="22" t="inlineStr">
        <is>
          <t>R2R</t>
        </is>
      </c>
      <c r="C82" s="17" t="inlineStr">
        <is>
          <t>S7.9</t>
        </is>
      </c>
      <c r="D82" s="16" t="inlineStr">
        <is>
          <t>Year-end success-fee recognition -&gt; Retained Earnings</t>
        </is>
      </c>
      <c r="E82" s="16" t="inlineStr">
        <is>
          <t>EC-RR-03;EC-RR-13</t>
        </is>
      </c>
      <c r="F82" s="16" t="inlineStr">
        <is>
          <t>YE journal; statements</t>
        </is>
      </c>
      <c r="G82" s="17" t="n"/>
      <c r="H82" s="16" t="n"/>
      <c r="I82" s="17" t="n"/>
      <c r="J82" s="16" t="n"/>
    </row>
    <row r="83">
      <c r="A83" s="15" t="inlineStr">
        <is>
          <t>T8</t>
        </is>
      </c>
      <c r="B83" s="19" t="inlineStr">
        <is>
          <t>Setup</t>
        </is>
      </c>
      <c r="C83" s="17" t="inlineStr">
        <is>
          <t>S8.0</t>
        </is>
      </c>
      <c r="D83" s="16" t="inlineStr">
        <is>
          <t>Sign up (GBP/UK); VAT</t>
        </is>
      </c>
      <c r="E83" s="16" t="inlineStr"/>
      <c r="F83" s="16" t="inlineStr">
        <is>
          <t>VAT seeded</t>
        </is>
      </c>
      <c r="G83" s="17" t="n"/>
      <c r="H83" s="16" t="n"/>
      <c r="I83" s="17" t="n"/>
      <c r="J83" s="16" t="n"/>
    </row>
    <row r="84">
      <c r="A84" s="15" t="inlineStr">
        <is>
          <t>T8</t>
        </is>
      </c>
      <c r="B84" s="20" t="inlineStr">
        <is>
          <t>E2C</t>
        </is>
      </c>
      <c r="C84" s="17" t="inlineStr">
        <is>
          <t>S8.1</t>
        </is>
      </c>
      <c r="D84" s="16" t="inlineStr">
        <is>
          <t>Halcyon 3-yr RPO retainer run</t>
        </is>
      </c>
      <c r="E84" s="16" t="inlineStr">
        <is>
          <t>EC-BILL-04</t>
        </is>
      </c>
      <c r="F84" s="16" t="inlineStr">
        <is>
          <t>Recurring retainer</t>
        </is>
      </c>
      <c r="G84" s="17" t="n"/>
      <c r="H84" s="16" t="n"/>
      <c r="I84" s="17" t="n"/>
      <c r="J84" s="16" t="n"/>
    </row>
    <row r="85">
      <c r="A85" s="15" t="inlineStr">
        <is>
          <t>T8</t>
        </is>
      </c>
      <c r="B85" s="20" t="inlineStr">
        <is>
          <t>E2C</t>
        </is>
      </c>
      <c r="C85" s="17" t="inlineStr">
        <is>
          <t>S8.2</t>
        </is>
      </c>
      <c r="D85" s="16" t="inlineStr">
        <is>
          <t>Northgate per-placement consolidated</t>
        </is>
      </c>
      <c r="E85" s="16" t="inlineStr">
        <is>
          <t>EC-BILL-09</t>
        </is>
      </c>
      <c r="F85" s="16" t="inlineStr">
        <is>
          <t>One invoice</t>
        </is>
      </c>
      <c r="G85" s="17" t="n"/>
      <c r="H85" s="16" t="n"/>
      <c r="I85" s="17" t="n"/>
      <c r="J85" s="16" t="n"/>
    </row>
    <row r="86">
      <c r="A86" s="15" t="inlineStr">
        <is>
          <t>T8</t>
        </is>
      </c>
      <c r="B86" s="20" t="inlineStr">
        <is>
          <t>E2C</t>
        </is>
      </c>
      <c r="C86" s="17" t="inlineStr">
        <is>
          <t>S8.3</t>
        </is>
      </c>
      <c r="D86" s="16" t="inlineStr">
        <is>
          <t>Pioneer per-employee scales with headcount</t>
        </is>
      </c>
      <c r="E86" s="16" t="inlineStr">
        <is>
          <t>EC-BILL-09</t>
        </is>
      </c>
      <c r="F86" s="16" t="inlineStr">
        <is>
          <t>Next invoice scales</t>
        </is>
      </c>
      <c r="G86" s="17" t="n"/>
      <c r="H86" s="16" t="n"/>
      <c r="I86" s="17" t="n"/>
      <c r="J86" s="16" t="n"/>
    </row>
    <row r="87">
      <c r="A87" s="15" t="inlineStr">
        <is>
          <t>T8</t>
        </is>
      </c>
      <c r="B87" s="20" t="inlineStr">
        <is>
          <t>E2C</t>
        </is>
      </c>
      <c r="C87" s="17" t="inlineStr">
        <is>
          <t>S8.4</t>
        </is>
      </c>
      <c r="D87" s="16" t="inlineStr">
        <is>
          <t>Cobblestone exec-search fixed</t>
        </is>
      </c>
      <c r="E87" s="16" t="inlineStr">
        <is>
          <t>EC-BILL-02</t>
        </is>
      </c>
      <c r="F87" s="16" t="inlineStr">
        <is>
          <t>Milestone fixed</t>
        </is>
      </c>
      <c r="G87" s="17" t="n"/>
      <c r="H87" s="16" t="n"/>
      <c r="I87" s="17" t="n"/>
      <c r="J87" s="16" t="n"/>
    </row>
    <row r="88">
      <c r="A88" s="15" t="inlineStr">
        <is>
          <t>T8</t>
        </is>
      </c>
      <c r="B88" s="20" t="inlineStr">
        <is>
          <t>E2C</t>
        </is>
      </c>
      <c r="C88" s="17" t="inlineStr">
        <is>
          <t>S8.5</t>
        </is>
      </c>
      <c r="D88" s="16" t="inlineStr">
        <is>
          <t>Camden fall-through credit; Vertex partial rebate</t>
        </is>
      </c>
      <c r="E88" s="16" t="inlineStr">
        <is>
          <t>EC-BILL-12;EC-AR-01</t>
        </is>
      </c>
      <c r="F88" s="16" t="inlineStr">
        <is>
          <t>Credit note; remaining balance</t>
        </is>
      </c>
      <c r="G88" s="17" t="n"/>
      <c r="H88" s="16" t="n"/>
      <c r="I88" s="17" t="n"/>
      <c r="J88" s="16" t="n"/>
    </row>
    <row r="89">
      <c r="A89" s="15" t="inlineStr">
        <is>
          <t>T8</t>
        </is>
      </c>
      <c r="B89" s="20" t="inlineStr">
        <is>
          <t>E2C</t>
        </is>
      </c>
      <c r="C89" s="17" t="inlineStr">
        <is>
          <t>S8.6</t>
        </is>
      </c>
      <c r="D89" s="16" t="inlineStr">
        <is>
          <t>Sterling Hotels EUR placement fee</t>
        </is>
      </c>
      <c r="E89" s="16" t="inlineStr">
        <is>
          <t>EC-FX-01</t>
        </is>
      </c>
      <c r="F89" s="16" t="inlineStr">
        <is>
          <t>Base amount + provenance</t>
        </is>
      </c>
      <c r="G89" s="17" t="n"/>
      <c r="H89" s="16" t="n"/>
      <c r="I89" s="17" t="n"/>
      <c r="J89" s="16" t="n"/>
    </row>
    <row r="90">
      <c r="A90" s="15" t="inlineStr">
        <is>
          <t>T8</t>
        </is>
      </c>
      <c r="B90" s="20" t="inlineStr">
        <is>
          <t>E2C</t>
        </is>
      </c>
      <c r="C90" s="17" t="inlineStr">
        <is>
          <t>S8.7</t>
        </is>
      </c>
      <c r="D90" s="16" t="inlineStr">
        <is>
          <t>Brookmere mixed; Lighthouse learned payer; Ashworth manual fallback</t>
        </is>
      </c>
      <c r="E90" s="16" t="inlineStr">
        <is>
          <t>EC-BILL-07;EC-AR-03;EC-AGT-04</t>
        </is>
      </c>
      <c r="F90" s="16" t="inlineStr">
        <is>
          <t>Mixed; suppression; manual path</t>
        </is>
      </c>
      <c r="G90" s="17" t="n"/>
      <c r="H90" s="16" t="n"/>
      <c r="I90" s="17" t="n"/>
      <c r="J90" s="16" t="n"/>
    </row>
    <row r="91">
      <c r="A91" s="15" t="inlineStr">
        <is>
          <t>T8</t>
        </is>
      </c>
      <c r="B91" s="21" t="inlineStr">
        <is>
          <t>P2P</t>
        </is>
      </c>
      <c r="C91" s="17" t="inlineStr">
        <is>
          <t>S8.8</t>
        </is>
      </c>
      <c r="D91" s="16" t="inlineStr">
        <is>
          <t>Job-board + background-check vendors; recurring auto-match</t>
        </is>
      </c>
      <c r="E91" s="16" t="inlineStr">
        <is>
          <t>EC-AP-11;EC-AP-12</t>
        </is>
      </c>
      <c r="F91" s="16" t="inlineStr">
        <is>
          <t>Lifecycle</t>
        </is>
      </c>
      <c r="G91" s="17" t="n"/>
      <c r="H91" s="16" t="n"/>
      <c r="I91" s="17" t="n"/>
      <c r="J91" s="16" t="n"/>
    </row>
    <row r="92">
      <c r="A92" s="15" t="inlineStr">
        <is>
          <t>T8</t>
        </is>
      </c>
      <c r="B92" s="22" t="inlineStr">
        <is>
          <t>R2R</t>
        </is>
      </c>
      <c r="C92" s="17" t="inlineStr">
        <is>
          <t>S8.9</t>
        </is>
      </c>
      <c r="D92" s="16" t="inlineStr">
        <is>
          <t>Monthly close; statements + utilization/headcount reporting</t>
        </is>
      </c>
      <c r="E92" s="16" t="inlineStr">
        <is>
          <t>EC-RR-01;EC-RR-13</t>
        </is>
      </c>
      <c r="F92" s="16" t="inlineStr">
        <is>
          <t>Reconcile</t>
        </is>
      </c>
      <c r="G92" s="17" t="n"/>
      <c r="H92" s="16" t="n"/>
      <c r="I92" s="17" t="n"/>
      <c r="J92" s="16" t="n"/>
    </row>
    <row r="93">
      <c r="A93" s="15" t="inlineStr">
        <is>
          <t>T9</t>
        </is>
      </c>
      <c r="B93" s="19" t="inlineStr">
        <is>
          <t>Setup</t>
        </is>
      </c>
      <c r="C93" s="17" t="inlineStr">
        <is>
          <t>S9.0</t>
        </is>
      </c>
      <c r="D93" s="16" t="inlineStr">
        <is>
          <t>Sign up (GBP+SGD); create 10 entities under family groups</t>
        </is>
      </c>
      <c r="E93" s="16" t="inlineStr"/>
      <c r="F93" s="16" t="inlineStr">
        <is>
          <t>Entities mapped</t>
        </is>
      </c>
      <c r="G93" s="17" t="n"/>
      <c r="H93" s="16" t="n"/>
      <c r="I93" s="17" t="n"/>
      <c r="J93" s="16" t="n"/>
    </row>
    <row r="94">
      <c r="A94" s="15" t="inlineStr">
        <is>
          <t>T9</t>
        </is>
      </c>
      <c r="B94" s="20" t="inlineStr">
        <is>
          <t>E2C</t>
        </is>
      </c>
      <c r="C94" s="17" t="inlineStr">
        <is>
          <t>S9.1</t>
        </is>
      </c>
      <c r="D94" s="16" t="inlineStr">
        <is>
          <t>Atlas: show family structure across 7+ engagements</t>
        </is>
      </c>
      <c r="E94" s="16" t="inlineStr"/>
      <c r="F94" s="16" t="inlineStr">
        <is>
          <t>Unified multi-engagement view</t>
        </is>
      </c>
      <c r="G94" s="17" t="n"/>
      <c r="H94" s="16" t="n"/>
      <c r="I94" s="17" t="n"/>
      <c r="J94" s="16" t="n"/>
    </row>
    <row r="95">
      <c r="A95" s="15" t="inlineStr">
        <is>
          <t>T9</t>
        </is>
      </c>
      <c r="B95" s="20" t="inlineStr">
        <is>
          <t>E2C</t>
        </is>
      </c>
      <c r="C95" s="17" t="inlineStr">
        <is>
          <t>S9.2</t>
        </is>
      </c>
      <c r="D95" s="16" t="inlineStr">
        <is>
          <t>Trading Group retainer; Investment Co + trusts fixed accounts</t>
        </is>
      </c>
      <c r="E95" s="16" t="inlineStr">
        <is>
          <t>EC-BILL-04;EC-BILL-02</t>
        </is>
      </c>
      <c r="F95" s="16" t="inlineStr">
        <is>
          <t>Retainer + fixed</t>
        </is>
      </c>
      <c r="G95" s="17" t="n"/>
      <c r="H95" s="16" t="n"/>
      <c r="I95" s="17" t="n"/>
      <c r="J95" s="16" t="n"/>
    </row>
    <row r="96">
      <c r="A96" s="15" t="inlineStr">
        <is>
          <t>T9</t>
        </is>
      </c>
      <c r="B96" s="20" t="inlineStr">
        <is>
          <t>E2C</t>
        </is>
      </c>
      <c r="C96" s="17" t="inlineStr">
        <is>
          <t>S9.3</t>
        </is>
      </c>
      <c r="D96" s="16" t="inlineStr">
        <is>
          <t>Trust(1992) SGD dividend manual journal; Marwood SG SGD invoice</t>
        </is>
      </c>
      <c r="E96" s="16" t="inlineStr">
        <is>
          <t>EC-FX-06;EC-FX-01</t>
        </is>
      </c>
      <c r="F96" s="16" t="inlineStr">
        <is>
          <t>FX provenance</t>
        </is>
      </c>
      <c r="G96" s="17" t="n"/>
      <c r="H96" s="16" t="n"/>
      <c r="I96" s="17" t="n"/>
      <c r="J96" s="16" t="n"/>
    </row>
    <row r="97">
      <c r="A97" s="15" t="inlineStr">
        <is>
          <t>T9</t>
        </is>
      </c>
      <c r="B97" s="20" t="inlineStr">
        <is>
          <t>E2C</t>
        </is>
      </c>
      <c r="C97" s="17" t="inlineStr">
        <is>
          <t>S9.4</t>
        </is>
      </c>
      <c r="D97" s="16" t="inlineStr">
        <is>
          <t>Sir Henry CGT scope-creep supplemental</t>
        </is>
      </c>
      <c r="E97" s="16" t="inlineStr">
        <is>
          <t>EC-BILL-10</t>
        </is>
      </c>
      <c r="F97" s="16" t="inlineStr">
        <is>
          <t>Comparable-fee citation</t>
        </is>
      </c>
      <c r="G97" s="17" t="n"/>
      <c r="H97" s="16" t="n"/>
      <c r="I97" s="17" t="n"/>
      <c r="J97" s="16" t="n"/>
    </row>
    <row r="98">
      <c r="A98" s="15" t="inlineStr">
        <is>
          <t>T9</t>
        </is>
      </c>
      <c r="B98" s="20" t="inlineStr">
        <is>
          <t>E2C</t>
        </is>
      </c>
      <c r="C98" s="17" t="inlineStr">
        <is>
          <t>S9.5</t>
        </is>
      </c>
      <c r="D98" s="16" t="inlineStr">
        <is>
          <t>Lady Marwood PII masking verified in agent evidence</t>
        </is>
      </c>
      <c r="E98" s="16" t="inlineStr">
        <is>
          <t>EC-OPS-02</t>
        </is>
      </c>
      <c r="F98" s="16" t="inlineStr">
        <is>
          <t>Masked bank/tax IDs + names</t>
        </is>
      </c>
      <c r="G98" s="17" t="n"/>
      <c r="H98" s="16" t="n"/>
      <c r="I98" s="17" t="n"/>
      <c r="J98" s="16" t="n"/>
    </row>
    <row r="99">
      <c r="A99" s="15" t="inlineStr">
        <is>
          <t>T9</t>
        </is>
      </c>
      <c r="B99" s="20" t="inlineStr">
        <is>
          <t>E2C</t>
        </is>
      </c>
      <c r="C99" s="17" t="inlineStr">
        <is>
          <t>S9.6</t>
        </is>
      </c>
      <c r="D99" s="16" t="inlineStr">
        <is>
          <t>COSEC per-event filings + deadline alerts; Foundation zero-fee; SIPP day-7</t>
        </is>
      </c>
      <c r="E99" s="16" t="inlineStr">
        <is>
          <t>EC-BILL-09;EC-BILL-11;EC-AR-03</t>
        </is>
      </c>
      <c r="F99" s="16" t="inlineStr">
        <is>
          <t>Events; alerts; pro-bono; payer</t>
        </is>
      </c>
      <c r="G99" s="17" t="n"/>
      <c r="H99" s="16" t="n"/>
      <c r="I99" s="17" t="n"/>
      <c r="J99" s="16" t="n"/>
    </row>
    <row r="100">
      <c r="A100" s="15" t="inlineStr">
        <is>
          <t>T9</t>
        </is>
      </c>
      <c r="B100" s="21" t="inlineStr">
        <is>
          <t>P2P</t>
        </is>
      </c>
      <c r="C100" s="17" t="inlineStr">
        <is>
          <t>S9.7</t>
        </is>
      </c>
      <c r="D100" s="16" t="inlineStr">
        <is>
          <t>Disbursement/registry-fee vendor bills lifecycle</t>
        </is>
      </c>
      <c r="E100" s="16" t="inlineStr">
        <is>
          <t>EC-AP-12</t>
        </is>
      </c>
      <c r="F100" s="16" t="inlineStr">
        <is>
          <t>Lifecycle</t>
        </is>
      </c>
      <c r="G100" s="17" t="n"/>
      <c r="H100" s="16" t="n"/>
      <c r="I100" s="17" t="n"/>
      <c r="J100" s="16" t="n"/>
    </row>
    <row r="101">
      <c r="A101" s="15" t="inlineStr">
        <is>
          <t>T9</t>
        </is>
      </c>
      <c r="B101" s="22" t="inlineStr">
        <is>
          <t>R2R</t>
        </is>
      </c>
      <c r="C101" s="17" t="inlineStr">
        <is>
          <t>S9.8</t>
        </is>
      </c>
      <c r="D101" s="16" t="inlineStr">
        <is>
          <t>Quarterly consolidated close across entities; multi-ccy toggle</t>
        </is>
      </c>
      <c r="E101" s="16" t="inlineStr">
        <is>
          <t>EC-RR-02</t>
        </is>
      </c>
      <c r="F101" s="16" t="inlineStr">
        <is>
          <t>Consolidated reporting</t>
        </is>
      </c>
      <c r="G101" s="17" t="n"/>
      <c r="H101" s="16" t="n"/>
      <c r="I101" s="17" t="n"/>
      <c r="J101" s="16" t="n"/>
    </row>
    <row r="102">
      <c r="A102" s="15" t="inlineStr">
        <is>
          <t>T9</t>
        </is>
      </c>
      <c r="B102" s="22" t="inlineStr">
        <is>
          <t>R2R</t>
        </is>
      </c>
      <c r="C102" s="17" t="inlineStr">
        <is>
          <t>S9.9</t>
        </is>
      </c>
      <c r="D102" s="16" t="inlineStr">
        <is>
          <t>Year-end close; trust accrual journals; statement package</t>
        </is>
      </c>
      <c r="E102" s="16" t="inlineStr">
        <is>
          <t>EC-RR-03;EC-RR-07;EC-RR-13</t>
        </is>
      </c>
      <c r="F102" s="16" t="inlineStr">
        <is>
          <t>YE; accruals; statements</t>
        </is>
      </c>
      <c r="G102" s="17" t="n"/>
      <c r="H102" s="16" t="n"/>
      <c r="I102" s="17" t="n"/>
      <c r="J102" s="16" t="n"/>
    </row>
    <row r="103">
      <c r="A103" s="15" t="inlineStr">
        <is>
          <t>T9</t>
        </is>
      </c>
      <c r="B103" s="23" t="inlineStr">
        <is>
          <t>Ctrl</t>
        </is>
      </c>
      <c r="C103" s="17" t="inlineStr">
        <is>
          <t>S9.10</t>
        </is>
      </c>
      <c r="D103" s="16" t="inlineStr">
        <is>
          <t>Auditor read-only walkthrough on a trust journal</t>
        </is>
      </c>
      <c r="E103" s="16" t="inlineStr">
        <is>
          <t>EC-RBAC-05</t>
        </is>
      </c>
      <c r="F103" s="16" t="inlineStr">
        <is>
          <t>Inspect, no mutation</t>
        </is>
      </c>
      <c r="G103" s="17" t="n"/>
      <c r="H103" s="16" t="n"/>
      <c r="I103" s="17" t="n"/>
      <c r="J103" s="16" t="n"/>
    </row>
    <row r="104">
      <c r="A104" s="15" t="inlineStr">
        <is>
          <t>T10</t>
        </is>
      </c>
      <c r="B104" s="19" t="inlineStr">
        <is>
          <t>Setup</t>
        </is>
      </c>
      <c r="C104" s="17" t="inlineStr">
        <is>
          <t>S10.0</t>
        </is>
      </c>
      <c r="D104" s="16" t="inlineStr">
        <is>
          <t>Sign up (USD); 5 roles + auditor; Approval Controls + FOM schedule</t>
        </is>
      </c>
      <c r="E104" s="16" t="inlineStr"/>
      <c r="F104" s="16" t="inlineStr">
        <is>
          <t>Caps + threshold + schedule set</t>
        </is>
      </c>
      <c r="G104" s="17" t="n"/>
      <c r="H104" s="16" t="n"/>
      <c r="I104" s="17" t="n"/>
      <c r="J104" s="16" t="n"/>
    </row>
    <row r="105">
      <c r="A105" s="15" t="inlineStr">
        <is>
          <t>T10</t>
        </is>
      </c>
      <c r="B105" s="20" t="inlineStr">
        <is>
          <t>E2C</t>
        </is>
      </c>
      <c r="C105" s="17" t="inlineStr">
        <is>
          <t>S10.1</t>
        </is>
      </c>
      <c r="D105" s="16" t="inlineStr">
        <is>
          <t>Continental single engagement all-4-models -&gt; mega mixed invoice</t>
        </is>
      </c>
      <c r="E105" s="16" t="inlineStr">
        <is>
          <t>EC-BILL-07</t>
        </is>
      </c>
      <c r="F105" s="16" t="inlineStr">
        <is>
          <t>Lines from fixed+T&amp;M+milestone+retainer</t>
        </is>
      </c>
      <c r="G105" s="17" t="n"/>
      <c r="H105" s="16" t="n"/>
      <c r="I105" s="17" t="n"/>
      <c r="J105" s="16" t="n"/>
    </row>
    <row r="106">
      <c r="A106" s="15" t="inlineStr">
        <is>
          <t>T10</t>
        </is>
      </c>
      <c r="B106" s="20" t="inlineStr">
        <is>
          <t>E2C</t>
        </is>
      </c>
      <c r="C106" s="17" t="inlineStr">
        <is>
          <t>S10.2</t>
        </is>
      </c>
      <c r="D106" s="16" t="inlineStr">
        <is>
          <t>EuroBank EUR + Britannia GBP programs; FX provenance</t>
        </is>
      </c>
      <c r="E106" s="16" t="inlineStr">
        <is>
          <t>EC-FX-01;EC-FX-02</t>
        </is>
      </c>
      <c r="F106" s="16" t="inlineStr">
        <is>
          <t>Base amounts; realised FX</t>
        </is>
      </c>
      <c r="G106" s="17" t="n"/>
      <c r="H106" s="16" t="n"/>
      <c r="I106" s="17" t="n"/>
      <c r="J106" s="16" t="n"/>
    </row>
    <row r="107">
      <c r="A107" s="15" t="inlineStr">
        <is>
          <t>T10</t>
        </is>
      </c>
      <c r="B107" s="20" t="inlineStr">
        <is>
          <t>E2C</t>
        </is>
      </c>
      <c r="C107" s="17" t="inlineStr">
        <is>
          <t>S10.3</t>
        </is>
      </c>
      <c r="D107" s="16" t="inlineStr">
        <is>
          <t>Portfolio WIP/utilization/margin reporting</t>
        </is>
      </c>
      <c r="E107" s="16" t="inlineStr"/>
      <c r="F107" s="16" t="inlineStr">
        <is>
          <t>Reports render</t>
        </is>
      </c>
      <c r="G107" s="17" t="n"/>
      <c r="H107" s="16" t="n"/>
      <c r="I107" s="17" t="n"/>
      <c r="J107" s="16" t="n"/>
    </row>
    <row r="108">
      <c r="A108" s="15" t="inlineStr">
        <is>
          <t>T10</t>
        </is>
      </c>
      <c r="B108" s="21" t="inlineStr">
        <is>
          <t>P2P</t>
        </is>
      </c>
      <c r="C108" s="17" t="inlineStr">
        <is>
          <t>S10.4</t>
        </is>
      </c>
      <c r="D108" s="16" t="inlineStr">
        <is>
          <t>Batch vendor bills: duplicate, PO mismatch, mixed-tax, recurring, no-bank</t>
        </is>
      </c>
      <c r="E108" s="16" t="inlineStr">
        <is>
          <t>EC-AP-02;EC-AP-03;EC-AP-10;EC-AP-11;EC-AP-04</t>
        </is>
      </c>
      <c r="F108" s="16" t="inlineStr">
        <is>
          <t>All AP edges observed</t>
        </is>
      </c>
      <c r="G108" s="17" t="n"/>
      <c r="H108" s="16" t="n"/>
      <c r="I108" s="17" t="n"/>
      <c r="J108" s="16" t="n"/>
    </row>
    <row r="109">
      <c r="A109" s="15" t="inlineStr">
        <is>
          <t>T10</t>
        </is>
      </c>
      <c r="B109" s="21" t="inlineStr">
        <is>
          <t>P2P</t>
        </is>
      </c>
      <c r="C109" s="17" t="inlineStr">
        <is>
          <t>S10.5</t>
        </is>
      </c>
      <c r="D109" s="16" t="inlineStr">
        <is>
          <t>Hi-value batch &gt; Manager cap -&gt; Owner; Polaris file regenerate warning; lifecycle</t>
        </is>
      </c>
      <c r="E109" s="16" t="inlineStr">
        <is>
          <t>EC-RBAC-03;EC-AP-08;EC-AP-12</t>
        </is>
      </c>
      <c r="F109" s="16" t="inlineStr">
        <is>
          <t>Owner approve; idempotency warn</t>
        </is>
      </c>
      <c r="G109" s="17" t="n"/>
      <c r="H109" s="16" t="n"/>
      <c r="I109" s="17" t="n"/>
      <c r="J109" s="16" t="n"/>
    </row>
    <row r="110">
      <c r="A110" s="15" t="inlineStr">
        <is>
          <t>T10</t>
        </is>
      </c>
      <c r="B110" s="22" t="inlineStr">
        <is>
          <t>R2R</t>
        </is>
      </c>
      <c r="C110" s="17" t="inlineStr">
        <is>
          <t>S10.6</t>
        </is>
      </c>
      <c r="D110" s="16" t="inlineStr">
        <is>
          <t>Monthly + quarter (vs prior-yr) + year-end; full statutory pack</t>
        </is>
      </c>
      <c r="E110" s="16" t="inlineStr">
        <is>
          <t>EC-RR-02;EC-RR-03;EC-RR-13</t>
        </is>
      </c>
      <c r="F110" s="16" t="inlineStr">
        <is>
          <t>All cadences; pack reconciles</t>
        </is>
      </c>
      <c r="G110" s="17" t="n"/>
      <c r="H110" s="16" t="n"/>
      <c r="I110" s="17" t="n"/>
      <c r="J110" s="16" t="n"/>
    </row>
    <row r="111">
      <c r="A111" s="15" t="inlineStr">
        <is>
          <t>T10</t>
        </is>
      </c>
      <c r="B111" s="22" t="inlineStr">
        <is>
          <t>R2R</t>
        </is>
      </c>
      <c r="C111" s="17" t="inlineStr">
        <is>
          <t>S10.7</t>
        </is>
      </c>
      <c r="D111" s="16" t="inlineStr">
        <is>
          <t>Manual-journal lifecycle; concurrent close+post race</t>
        </is>
      </c>
      <c r="E111" s="16" t="inlineStr">
        <is>
          <t>EC-RR-10;EC-RR-11;EC-RR-12;EC-CON-03</t>
        </is>
      </c>
      <c r="F111" s="16" t="inlineStr">
        <is>
          <t>2nd approver; reversal; 405; post-loser 422</t>
        </is>
      </c>
      <c r="G111" s="17" t="n"/>
      <c r="H111" s="16" t="n"/>
      <c r="I111" s="17" t="n"/>
      <c r="J111" s="16" t="n"/>
    </row>
    <row r="112">
      <c r="A112" s="15" t="inlineStr">
        <is>
          <t>T10</t>
        </is>
      </c>
      <c r="B112" s="24" t="inlineStr">
        <is>
          <t>AIops</t>
        </is>
      </c>
      <c r="C112" s="17" t="inlineStr">
        <is>
          <t>S10.8</t>
        </is>
      </c>
      <c r="D112" s="16" t="inlineStr">
        <is>
          <t>FOM daily check (read-only vs actions separated)</t>
        </is>
      </c>
      <c r="E112" s="16" t="inlineStr"/>
      <c r="F112" s="16" t="inlineStr">
        <is>
          <t>Sectioned AR/AP/WIP/close/reports</t>
        </is>
      </c>
      <c r="G112" s="17" t="n"/>
      <c r="H112" s="16" t="n"/>
      <c r="I112" s="17" t="n"/>
      <c r="J112" s="16" t="n"/>
    </row>
    <row r="113">
      <c r="A113" s="15" t="inlineStr">
        <is>
          <t>T10</t>
        </is>
      </c>
      <c r="B113" s="24" t="inlineStr">
        <is>
          <t>AIops</t>
        </is>
      </c>
      <c r="C113" s="17" t="inlineStr">
        <is>
          <t>S10.9</t>
        </is>
      </c>
      <c r="D113" s="16" t="inlineStr">
        <is>
          <t>FOM create work plan -&gt; approve -&gt; Plan Item -&gt; specialist dispatch</t>
        </is>
      </c>
      <c r="E113" s="16" t="inlineStr"/>
      <c r="F113" s="16" t="inlineStr">
        <is>
          <t>Child tasks; money/journal/email still gated</t>
        </is>
      </c>
      <c r="G113" s="17" t="n"/>
      <c r="H113" s="16" t="n"/>
      <c r="I113" s="17" t="n"/>
      <c r="J113" s="16" t="n"/>
    </row>
    <row r="114">
      <c r="A114" s="15" t="inlineStr">
        <is>
          <t>T10</t>
        </is>
      </c>
      <c r="B114" s="24" t="inlineStr">
        <is>
          <t>AIops</t>
        </is>
      </c>
      <c r="C114" s="17" t="inlineStr">
        <is>
          <t>S10.10</t>
        </is>
      </c>
      <c r="D114" s="16" t="inlineStr">
        <is>
          <t>Schedule FOM 07:00 UTC; Workflow Runs + stale escalations</t>
        </is>
      </c>
      <c r="E114" s="16" t="inlineStr"/>
      <c r="F114" s="16" t="inlineStr">
        <is>
          <t>Scheduled run + escalations visible</t>
        </is>
      </c>
      <c r="G114" s="17" t="n"/>
      <c r="H114" s="16" t="n"/>
      <c r="I114" s="17" t="n"/>
      <c r="J114" s="16" t="n"/>
    </row>
    <row r="115">
      <c r="A115" s="15" t="inlineStr">
        <is>
          <t>T10</t>
        </is>
      </c>
      <c r="B115" s="23" t="inlineStr">
        <is>
          <t>Ctrl</t>
        </is>
      </c>
      <c r="C115" s="17" t="inlineStr">
        <is>
          <t>S10.11</t>
        </is>
      </c>
      <c r="D115" s="16" t="inlineStr">
        <is>
          <t>Approval policy read; auditor read-only; cross-tenant 404; viewer 403</t>
        </is>
      </c>
      <c r="E115" s="16" t="inlineStr">
        <is>
          <t>EC-RBAC-05;EC-RBAC-02;EC-RBAC-01</t>
        </is>
      </c>
      <c r="F115" s="16" t="inlineStr">
        <is>
          <t>Denials clean</t>
        </is>
      </c>
      <c r="G115" s="17" t="n"/>
      <c r="H115" s="16" t="n"/>
      <c r="I115" s="17" t="n"/>
      <c r="J115" s="16" t="n"/>
    </row>
    <row r="116">
      <c r="A116" s="15" t="inlineStr">
        <is>
          <t>T10</t>
        </is>
      </c>
      <c r="B116" s="23" t="inlineStr">
        <is>
          <t>Ctrl</t>
        </is>
      </c>
      <c r="C116" s="17" t="inlineStr">
        <is>
          <t>S10.12</t>
        </is>
      </c>
      <c r="D116" s="16" t="inlineStr">
        <is>
          <t>Prompt-injection red-team document refused/surfaced</t>
        </is>
      </c>
      <c r="E116" s="16" t="inlineStr">
        <is>
          <t>EC-AGT-02</t>
        </is>
      </c>
      <c r="F116" s="16" t="inlineStr">
        <is>
          <t>No compliance; surfaced to Inbox</t>
        </is>
      </c>
      <c r="G116" s="17" t="n"/>
      <c r="H116" s="16" t="n"/>
      <c r="I116" s="17" t="n"/>
      <c r="J116" s="16" t="n"/>
    </row>
    <row r="117">
      <c r="A117" s="15" t="inlineStr">
        <is>
          <t>T10</t>
        </is>
      </c>
      <c r="B117" s="23" t="inlineStr">
        <is>
          <t>Ctrl</t>
        </is>
      </c>
      <c r="C117" s="17" t="inlineStr">
        <is>
          <t>S10.13</t>
        </is>
      </c>
      <c r="D117" s="16" t="inlineStr">
        <is>
          <t>Operational health + alert readiness expose no secrets; rate-limit abuse path</t>
        </is>
      </c>
      <c r="E117" s="16" t="inlineStr">
        <is>
          <t>EC-OPS-03;EC-OPS-01</t>
        </is>
      </c>
      <c r="F117" s="16" t="inlineStr">
        <is>
          <t>Failure counts only; sanitized paths</t>
        </is>
      </c>
      <c r="G117" s="17" t="n"/>
      <c r="H117" s="16" t="n"/>
      <c r="I117" s="17" t="n"/>
      <c r="J117" s="16" t="n"/>
    </row>
    <row r="118">
      <c r="A118" s="15" t="inlineStr">
        <is>
          <t>T10</t>
        </is>
      </c>
      <c r="B118" s="23" t="inlineStr">
        <is>
          <t>Ctrl</t>
        </is>
      </c>
      <c r="C118" s="17" t="inlineStr">
        <is>
          <t>S10.14</t>
        </is>
      </c>
      <c r="D118" s="16" t="inlineStr">
        <is>
          <t>Decision trail + Agent Run Ledger + Workflow Runs across bill/invoice/payment/journal/close</t>
        </is>
      </c>
      <c r="E118" s="16" t="inlineStr"/>
      <c r="F118" s="16" t="inlineStr">
        <is>
          <t>All reconcile</t>
        </is>
      </c>
      <c r="G118" s="17" t="n"/>
      <c r="H118" s="16" t="n"/>
      <c r="I118" s="17" t="n"/>
      <c r="J118" s="16" t="n"/>
    </row>
  </sheetData>
  <conditionalFormatting sqref="G5:G11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5:G118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0" customWidth="1" min="7" max="7"/>
  </cols>
  <sheetData>
    <row r="1">
      <c r="A1" s="10" t="inlineStr">
        <is>
          <t>Coverage Summary</t>
        </is>
      </c>
    </row>
    <row r="3">
      <c r="A3" s="11" t="inlineStr">
        <is>
          <t>Metric</t>
        </is>
      </c>
      <c r="B3" s="11" t="inlineStr">
        <is>
          <t>Count</t>
        </is>
      </c>
    </row>
    <row r="4">
      <c r="A4" s="25" t="inlineStr">
        <is>
          <t>Total steps</t>
        </is>
      </c>
      <c r="B4" s="17">
        <f>COUNTA(Execution!A5:A118)</f>
        <v/>
      </c>
    </row>
    <row r="5">
      <c r="A5" s="25" t="inlineStr">
        <is>
          <t>Pass</t>
        </is>
      </c>
      <c r="B5" s="17">
        <f>COUNTIF(Execution!$G$5:$G$118,"Pass")</f>
        <v/>
      </c>
    </row>
    <row r="6">
      <c r="A6" s="25" t="inlineStr">
        <is>
          <t>Fail</t>
        </is>
      </c>
      <c r="B6" s="17">
        <f>COUNTIF(Execution!$G$5:$G$118,"Fail")</f>
        <v/>
      </c>
    </row>
    <row r="7">
      <c r="A7" s="25" t="inlineStr">
        <is>
          <t>Blocked</t>
        </is>
      </c>
      <c r="B7" s="17">
        <f>COUNTIF(Execution!$G$5:$G$118,"Blocked")</f>
        <v/>
      </c>
    </row>
    <row r="8">
      <c r="A8" s="25" t="inlineStr">
        <is>
          <t>N/A</t>
        </is>
      </c>
      <c r="B8" s="17">
        <f>COUNTIF(Execution!$G$5:$G$118,"N/A")</f>
        <v/>
      </c>
    </row>
    <row r="9">
      <c r="A9" s="25" t="inlineStr">
        <is>
          <t>Not yet run</t>
        </is>
      </c>
      <c r="B9" s="17">
        <f>COUNTBLANK(Execution!$G$5:$G$118)</f>
        <v/>
      </c>
    </row>
    <row r="10">
      <c r="A10" s="25" t="inlineStr">
        <is>
          <t>Pass rate</t>
        </is>
      </c>
      <c r="B10" s="26">
        <f>IF(COUNTA(Execution!A5:A118)=0,0,COUNTIF(Execution!$G$5:$G$118,"Pass")/COUNTA(Execution!A5:A118))</f>
        <v/>
      </c>
    </row>
    <row r="12">
      <c r="A12" s="27" t="inlineStr">
        <is>
          <t>By tenant</t>
        </is>
      </c>
    </row>
    <row r="13">
      <c r="A13" s="11" t="inlineStr">
        <is>
          <t>Tenant</t>
        </is>
      </c>
      <c r="B13" s="11" t="inlineStr">
        <is>
          <t>Steps</t>
        </is>
      </c>
      <c r="C13" s="11" t="inlineStr">
        <is>
          <t>Pass</t>
        </is>
      </c>
      <c r="D13" s="11" t="inlineStr">
        <is>
          <t>Fail</t>
        </is>
      </c>
      <c r="E13" s="11" t="inlineStr">
        <is>
          <t>Blocked</t>
        </is>
      </c>
      <c r="F13" s="11" t="inlineStr">
        <is>
          <t>Not run</t>
        </is>
      </c>
      <c r="G13" s="11" t="inlineStr">
        <is>
          <t>Pass rate</t>
        </is>
      </c>
    </row>
    <row r="14">
      <c r="A14" s="17" t="inlineStr">
        <is>
          <t>T1</t>
        </is>
      </c>
      <c r="B14" s="17">
        <f>COUNTIF(Execution!$A$5:$A$118,"T1")</f>
        <v/>
      </c>
      <c r="C14" s="17">
        <f>COUNTIFS(Execution!$A$5:$A$118,"T1",Execution!$G$5:$G$118,"Pass")</f>
        <v/>
      </c>
      <c r="D14" s="17">
        <f>COUNTIFS(Execution!$A$5:$A$118,"T1",Execution!$G$5:$G$118,"Fail")</f>
        <v/>
      </c>
      <c r="E14" s="17">
        <f>COUNTIFS(Execution!$A$5:$A$118,"T1",Execution!$G$5:$G$118,"Blocked")</f>
        <v/>
      </c>
      <c r="F14" s="17">
        <f>COUNTIFS(Execution!$A$5:$A$118,"T1",Execution!$G$5:$G$118,"")</f>
        <v/>
      </c>
      <c r="G14" s="26">
        <f>IF(B14=0,0,C14/B14)</f>
        <v/>
      </c>
    </row>
    <row r="15">
      <c r="A15" s="17" t="inlineStr">
        <is>
          <t>T2</t>
        </is>
      </c>
      <c r="B15" s="17">
        <f>COUNTIF(Execution!$A$5:$A$118,"T2")</f>
        <v/>
      </c>
      <c r="C15" s="17">
        <f>COUNTIFS(Execution!$A$5:$A$118,"T2",Execution!$G$5:$G$118,"Pass")</f>
        <v/>
      </c>
      <c r="D15" s="17">
        <f>COUNTIFS(Execution!$A$5:$A$118,"T2",Execution!$G$5:$G$118,"Fail")</f>
        <v/>
      </c>
      <c r="E15" s="17">
        <f>COUNTIFS(Execution!$A$5:$A$118,"T2",Execution!$G$5:$G$118,"Blocked")</f>
        <v/>
      </c>
      <c r="F15" s="17">
        <f>COUNTIFS(Execution!$A$5:$A$118,"T2",Execution!$G$5:$G$118,"")</f>
        <v/>
      </c>
      <c r="G15" s="26">
        <f>IF(B15=0,0,C15/B15)</f>
        <v/>
      </c>
    </row>
    <row r="16">
      <c r="A16" s="17" t="inlineStr">
        <is>
          <t>T3</t>
        </is>
      </c>
      <c r="B16" s="17">
        <f>COUNTIF(Execution!$A$5:$A$118,"T3")</f>
        <v/>
      </c>
      <c r="C16" s="17">
        <f>COUNTIFS(Execution!$A$5:$A$118,"T3",Execution!$G$5:$G$118,"Pass")</f>
        <v/>
      </c>
      <c r="D16" s="17">
        <f>COUNTIFS(Execution!$A$5:$A$118,"T3",Execution!$G$5:$G$118,"Fail")</f>
        <v/>
      </c>
      <c r="E16" s="17">
        <f>COUNTIFS(Execution!$A$5:$A$118,"T3",Execution!$G$5:$G$118,"Blocked")</f>
        <v/>
      </c>
      <c r="F16" s="17">
        <f>COUNTIFS(Execution!$A$5:$A$118,"T3",Execution!$G$5:$G$118,"")</f>
        <v/>
      </c>
      <c r="G16" s="26">
        <f>IF(B16=0,0,C16/B16)</f>
        <v/>
      </c>
    </row>
    <row r="17">
      <c r="A17" s="17" t="inlineStr">
        <is>
          <t>T4</t>
        </is>
      </c>
      <c r="B17" s="17">
        <f>COUNTIF(Execution!$A$5:$A$118,"T4")</f>
        <v/>
      </c>
      <c r="C17" s="17">
        <f>COUNTIFS(Execution!$A$5:$A$118,"T4",Execution!$G$5:$G$118,"Pass")</f>
        <v/>
      </c>
      <c r="D17" s="17">
        <f>COUNTIFS(Execution!$A$5:$A$118,"T4",Execution!$G$5:$G$118,"Fail")</f>
        <v/>
      </c>
      <c r="E17" s="17">
        <f>COUNTIFS(Execution!$A$5:$A$118,"T4",Execution!$G$5:$G$118,"Blocked")</f>
        <v/>
      </c>
      <c r="F17" s="17">
        <f>COUNTIFS(Execution!$A$5:$A$118,"T4",Execution!$G$5:$G$118,"")</f>
        <v/>
      </c>
      <c r="G17" s="26">
        <f>IF(B17=0,0,C17/B17)</f>
        <v/>
      </c>
    </row>
    <row r="18">
      <c r="A18" s="17" t="inlineStr">
        <is>
          <t>T5</t>
        </is>
      </c>
      <c r="B18" s="17">
        <f>COUNTIF(Execution!$A$5:$A$118,"T5")</f>
        <v/>
      </c>
      <c r="C18" s="17">
        <f>COUNTIFS(Execution!$A$5:$A$118,"T5",Execution!$G$5:$G$118,"Pass")</f>
        <v/>
      </c>
      <c r="D18" s="17">
        <f>COUNTIFS(Execution!$A$5:$A$118,"T5",Execution!$G$5:$G$118,"Fail")</f>
        <v/>
      </c>
      <c r="E18" s="17">
        <f>COUNTIFS(Execution!$A$5:$A$118,"T5",Execution!$G$5:$G$118,"Blocked")</f>
        <v/>
      </c>
      <c r="F18" s="17">
        <f>COUNTIFS(Execution!$A$5:$A$118,"T5",Execution!$G$5:$G$118,"")</f>
        <v/>
      </c>
      <c r="G18" s="26">
        <f>IF(B18=0,0,C18/B18)</f>
        <v/>
      </c>
    </row>
    <row r="19">
      <c r="A19" s="17" t="inlineStr">
        <is>
          <t>T6</t>
        </is>
      </c>
      <c r="B19" s="17">
        <f>COUNTIF(Execution!$A$5:$A$118,"T6")</f>
        <v/>
      </c>
      <c r="C19" s="17">
        <f>COUNTIFS(Execution!$A$5:$A$118,"T6",Execution!$G$5:$G$118,"Pass")</f>
        <v/>
      </c>
      <c r="D19" s="17">
        <f>COUNTIFS(Execution!$A$5:$A$118,"T6",Execution!$G$5:$G$118,"Fail")</f>
        <v/>
      </c>
      <c r="E19" s="17">
        <f>COUNTIFS(Execution!$A$5:$A$118,"T6",Execution!$G$5:$G$118,"Blocked")</f>
        <v/>
      </c>
      <c r="F19" s="17">
        <f>COUNTIFS(Execution!$A$5:$A$118,"T6",Execution!$G$5:$G$118,"")</f>
        <v/>
      </c>
      <c r="G19" s="26">
        <f>IF(B19=0,0,C19/B19)</f>
        <v/>
      </c>
    </row>
    <row r="20">
      <c r="A20" s="17" t="inlineStr">
        <is>
          <t>T7</t>
        </is>
      </c>
      <c r="B20" s="17">
        <f>COUNTIF(Execution!$A$5:$A$118,"T7")</f>
        <v/>
      </c>
      <c r="C20" s="17">
        <f>COUNTIFS(Execution!$A$5:$A$118,"T7",Execution!$G$5:$G$118,"Pass")</f>
        <v/>
      </c>
      <c r="D20" s="17">
        <f>COUNTIFS(Execution!$A$5:$A$118,"T7",Execution!$G$5:$G$118,"Fail")</f>
        <v/>
      </c>
      <c r="E20" s="17">
        <f>COUNTIFS(Execution!$A$5:$A$118,"T7",Execution!$G$5:$G$118,"Blocked")</f>
        <v/>
      </c>
      <c r="F20" s="17">
        <f>COUNTIFS(Execution!$A$5:$A$118,"T7",Execution!$G$5:$G$118,"")</f>
        <v/>
      </c>
      <c r="G20" s="26">
        <f>IF(B20=0,0,C20/B20)</f>
        <v/>
      </c>
    </row>
    <row r="21">
      <c r="A21" s="17" t="inlineStr">
        <is>
          <t>T8</t>
        </is>
      </c>
      <c r="B21" s="17">
        <f>COUNTIF(Execution!$A$5:$A$118,"T8")</f>
        <v/>
      </c>
      <c r="C21" s="17">
        <f>COUNTIFS(Execution!$A$5:$A$118,"T8",Execution!$G$5:$G$118,"Pass")</f>
        <v/>
      </c>
      <c r="D21" s="17">
        <f>COUNTIFS(Execution!$A$5:$A$118,"T8",Execution!$G$5:$G$118,"Fail")</f>
        <v/>
      </c>
      <c r="E21" s="17">
        <f>COUNTIFS(Execution!$A$5:$A$118,"T8",Execution!$G$5:$G$118,"Blocked")</f>
        <v/>
      </c>
      <c r="F21" s="17">
        <f>COUNTIFS(Execution!$A$5:$A$118,"T8",Execution!$G$5:$G$118,"")</f>
        <v/>
      </c>
      <c r="G21" s="26">
        <f>IF(B21=0,0,C21/B21)</f>
        <v/>
      </c>
    </row>
    <row r="22">
      <c r="A22" s="17" t="inlineStr">
        <is>
          <t>T9</t>
        </is>
      </c>
      <c r="B22" s="17">
        <f>COUNTIF(Execution!$A$5:$A$118,"T9")</f>
        <v/>
      </c>
      <c r="C22" s="17">
        <f>COUNTIFS(Execution!$A$5:$A$118,"T9",Execution!$G$5:$G$118,"Pass")</f>
        <v/>
      </c>
      <c r="D22" s="17">
        <f>COUNTIFS(Execution!$A$5:$A$118,"T9",Execution!$G$5:$G$118,"Fail")</f>
        <v/>
      </c>
      <c r="E22" s="17">
        <f>COUNTIFS(Execution!$A$5:$A$118,"T9",Execution!$G$5:$G$118,"Blocked")</f>
        <v/>
      </c>
      <c r="F22" s="17">
        <f>COUNTIFS(Execution!$A$5:$A$118,"T9",Execution!$G$5:$G$118,"")</f>
        <v/>
      </c>
      <c r="G22" s="26">
        <f>IF(B22=0,0,C22/B22)</f>
        <v/>
      </c>
    </row>
    <row r="23">
      <c r="A23" s="17" t="inlineStr">
        <is>
          <t>T10</t>
        </is>
      </c>
      <c r="B23" s="17">
        <f>COUNTIF(Execution!$A$5:$A$118,"T10")</f>
        <v/>
      </c>
      <c r="C23" s="17">
        <f>COUNTIFS(Execution!$A$5:$A$118,"T10",Execution!$G$5:$G$118,"Pass")</f>
        <v/>
      </c>
      <c r="D23" s="17">
        <f>COUNTIFS(Execution!$A$5:$A$118,"T10",Execution!$G$5:$G$118,"Fail")</f>
        <v/>
      </c>
      <c r="E23" s="17">
        <f>COUNTIFS(Execution!$A$5:$A$118,"T10",Execution!$G$5:$G$118,"Blocked")</f>
        <v/>
      </c>
      <c r="F23" s="17">
        <f>COUNTIFS(Execution!$A$5:$A$118,"T10",Execution!$G$5:$G$118,"")</f>
        <v/>
      </c>
      <c r="G23" s="26">
        <f>IF(B23=0,0,C23/B23)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2026-06-29T09:24:29Z</dcterms:created>
  <dcterms:modified xmlns:dcterms="http://purl.org/dc/terms/" xmlns:xsi="http://www.w3.org/2001/XMLSchema-instance" xsi:type="dcterms:W3CDTF">2026-06-29T09:24:29Z</dcterms:modified>
</cp:coreProperties>
</file>